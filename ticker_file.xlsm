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4894b64a5cffbf6/Documents/GitHub/SEC-to-EXCEL/"/>
    </mc:Choice>
  </mc:AlternateContent>
  <xr:revisionPtr revIDLastSave="5662" documentId="13_ncr:1_{843A4349-3C06-475A-8CAF-83D2BD96C165}" xr6:coauthVersionLast="47" xr6:coauthVersionMax="47" xr10:uidLastSave="{FA108400-6636-458C-97FD-94D15F42D5F0}"/>
  <bookViews>
    <workbookView xWindow="38280" yWindow="1515" windowWidth="29040" windowHeight="15720" activeTab="3" xr2:uid="{96B6AE06-DB7D-4811-B2DB-8FB3589E78C3}"/>
  </bookViews>
  <sheets>
    <sheet name="Sheet3" sheetId="3" r:id="rId1"/>
    <sheet name="Summary" sheetId="5" r:id="rId2"/>
    <sheet name="Data" sheetId="4" r:id="rId3"/>
    <sheet name="PowerBI_Data" sheetId="7" r:id="rId4"/>
  </sheets>
  <definedNames>
    <definedName name="_xleta.PY" hidden="1" xlm="1">#NAME?</definedName>
    <definedName name="ID" localSheetId="2" hidden="1">"b0b3ce8e-d1bb-4d93-9d0a-8eef0af793c4"</definedName>
    <definedName name="ID" localSheetId="0" hidden="1">"5a618dbe-4d3c-4ec3-a920-b0f1febdb2bf"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3" l="1"/>
  <c r="K39" i="3" s="1"/>
  <c r="I47" i="3"/>
  <c r="H47" i="3"/>
  <c r="K47" i="3" s="1"/>
  <c r="C47" i="3"/>
  <c r="B47" i="3"/>
  <c r="E47" i="3" s="1"/>
  <c r="I44" i="3"/>
  <c r="H44" i="3"/>
  <c r="K44" i="3" s="1"/>
  <c r="C44" i="3"/>
  <c r="B44" i="3"/>
  <c r="E44" i="3" s="1"/>
  <c r="I43" i="3"/>
  <c r="H43" i="3"/>
  <c r="K43" i="3" s="1"/>
  <c r="C43" i="3"/>
  <c r="E43" i="3" s="1"/>
  <c r="B43" i="3"/>
  <c r="I42" i="3"/>
  <c r="H42" i="3"/>
  <c r="K42" i="3" s="1"/>
  <c r="C42" i="3"/>
  <c r="B42" i="3"/>
  <c r="K41" i="3"/>
  <c r="I41" i="3"/>
  <c r="H41" i="3"/>
  <c r="C41" i="3"/>
  <c r="B41" i="3"/>
  <c r="E41" i="3" s="1"/>
  <c r="I40" i="3"/>
  <c r="H40" i="3"/>
  <c r="K40" i="3" s="1"/>
  <c r="C40" i="3"/>
  <c r="B40" i="3"/>
  <c r="E40" i="3" s="1"/>
  <c r="I39" i="3"/>
  <c r="C39" i="3"/>
  <c r="E39" i="3" s="1"/>
  <c r="B39" i="3"/>
  <c r="I38" i="3"/>
  <c r="H38" i="3"/>
  <c r="K38" i="3" s="1"/>
  <c r="C38" i="3"/>
  <c r="B38" i="3"/>
  <c r="E38" i="3" s="1"/>
  <c r="K37" i="3"/>
  <c r="I37" i="3"/>
  <c r="H37" i="3"/>
  <c r="C37" i="3"/>
  <c r="B37" i="3"/>
  <c r="E37" i="3" s="1"/>
  <c r="J33" i="3"/>
  <c r="K33" i="3" s="1"/>
  <c r="E33" i="3"/>
  <c r="D33" i="3"/>
  <c r="I31" i="3"/>
  <c r="H31" i="3"/>
  <c r="D31" i="3"/>
  <c r="C31" i="3"/>
  <c r="C45" i="3" s="1"/>
  <c r="B31" i="3"/>
  <c r="J30" i="3"/>
  <c r="K30" i="3" s="1"/>
  <c r="D30" i="3"/>
  <c r="E30" i="3" s="1"/>
  <c r="J29" i="3"/>
  <c r="K29" i="3" s="1"/>
  <c r="E29" i="3"/>
  <c r="D29" i="3"/>
  <c r="J28" i="3"/>
  <c r="K28" i="3" s="1"/>
  <c r="D28" i="3"/>
  <c r="E28" i="3" s="1"/>
  <c r="J27" i="3"/>
  <c r="J31" i="3" s="1"/>
  <c r="K31" i="3" s="1"/>
  <c r="E27" i="3"/>
  <c r="D27" i="3"/>
  <c r="J26" i="3"/>
  <c r="K26" i="3" s="1"/>
  <c r="D26" i="3"/>
  <c r="E26" i="3" s="1"/>
  <c r="J25" i="3"/>
  <c r="K25" i="3" s="1"/>
  <c r="D25" i="3"/>
  <c r="E25" i="3" s="1"/>
  <c r="J24" i="3"/>
  <c r="K24" i="3" s="1"/>
  <c r="D24" i="3"/>
  <c r="E24" i="3" s="1"/>
  <c r="J23" i="3"/>
  <c r="K23" i="3" s="1"/>
  <c r="E23" i="3"/>
  <c r="D23" i="3"/>
  <c r="J19" i="3"/>
  <c r="K19" i="3" s="1"/>
  <c r="D19" i="3"/>
  <c r="E19" i="3" s="1"/>
  <c r="I17" i="3"/>
  <c r="H17" i="3"/>
  <c r="C17" i="3"/>
  <c r="B17" i="3"/>
  <c r="B45" i="3" s="1"/>
  <c r="J16" i="3"/>
  <c r="K16" i="3" s="1"/>
  <c r="D16" i="3"/>
  <c r="E16" i="3" s="1"/>
  <c r="J15" i="3"/>
  <c r="K15" i="3" s="1"/>
  <c r="D15" i="3"/>
  <c r="E15" i="3" s="1"/>
  <c r="J14" i="3"/>
  <c r="K14" i="3" s="1"/>
  <c r="D14" i="3"/>
  <c r="E14" i="3" s="1"/>
  <c r="J13" i="3"/>
  <c r="K13" i="3" s="1"/>
  <c r="D13" i="3"/>
  <c r="J12" i="3"/>
  <c r="K12" i="3" s="1"/>
  <c r="E12" i="3"/>
  <c r="D12" i="3"/>
  <c r="J11" i="3"/>
  <c r="K11" i="3" s="1"/>
  <c r="D11" i="3"/>
  <c r="E11" i="3" s="1"/>
  <c r="J10" i="3"/>
  <c r="K10" i="3" s="1"/>
  <c r="D10" i="3"/>
  <c r="E10" i="3" s="1"/>
  <c r="J9" i="3"/>
  <c r="K9" i="3" s="1"/>
  <c r="D9" i="3"/>
  <c r="E9" i="3" s="1"/>
  <c r="E31" i="3" l="1"/>
  <c r="H45" i="3"/>
  <c r="I45" i="3"/>
  <c r="E45" i="3"/>
  <c r="D17" i="3"/>
  <c r="E17" i="3" s="1"/>
  <c r="E42" i="3"/>
  <c r="J17" i="3"/>
  <c r="K17" i="3" s="1"/>
  <c r="K27" i="3"/>
  <c r="E13" i="3"/>
  <c r="K45" i="3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<sst xmlns="http://schemas.openxmlformats.org/spreadsheetml/2006/main" count="2588" uniqueCount="78">
  <si>
    <t>Jacuzzi Group</t>
  </si>
  <si>
    <t>USD in Millions</t>
  </si>
  <si>
    <t>Q4 Net Sales</t>
  </si>
  <si>
    <t>$ +/-</t>
  </si>
  <si>
    <t>% +/-</t>
  </si>
  <si>
    <t>2024 Net Sales</t>
  </si>
  <si>
    <t>Pool Corp</t>
  </si>
  <si>
    <t>AO Smith</t>
  </si>
  <si>
    <t>Fluidra</t>
  </si>
  <si>
    <t>Watts Water Group</t>
  </si>
  <si>
    <t>Leslie's</t>
  </si>
  <si>
    <r>
      <t>Pentair</t>
    </r>
    <r>
      <rPr>
        <vertAlign val="superscript"/>
        <sz val="11"/>
        <color theme="1"/>
        <rFont val="Aptos Narrow"/>
        <family val="2"/>
        <scheme val="minor"/>
      </rPr>
      <t>1</t>
    </r>
  </si>
  <si>
    <t>Hayward Holdings</t>
  </si>
  <si>
    <t>Latham Group</t>
  </si>
  <si>
    <t>Total Peer Group</t>
  </si>
  <si>
    <t>Q4 ADJ. EBITDA</t>
  </si>
  <si>
    <t>2024 ADJ. EBITDA</t>
  </si>
  <si>
    <t>Q4 ADJ. EBITDA %</t>
  </si>
  <si>
    <t>2024 ADJ. EBITDA %</t>
  </si>
  <si>
    <t>n.a.</t>
  </si>
  <si>
    <r>
      <rPr>
        <i/>
        <vertAlign val="superscript"/>
        <sz val="11"/>
        <color theme="1"/>
        <rFont val="Aptos Narrow"/>
        <family val="2"/>
        <scheme val="minor"/>
      </rPr>
      <t>1</t>
    </r>
    <r>
      <rPr>
        <i/>
        <sz val="11"/>
        <color theme="1"/>
        <rFont val="Aptos Narrow"/>
        <family val="2"/>
        <scheme val="minor"/>
      </rPr>
      <t>Pentair Pool Segment results with allocated Corporate expenses</t>
    </r>
  </si>
  <si>
    <t>Notes</t>
  </si>
  <si>
    <t xml:space="preserve"> Public Company Peer Group Performance</t>
  </si>
  <si>
    <t>Net Sales</t>
  </si>
  <si>
    <t>Gross Profit</t>
  </si>
  <si>
    <t>SG&amp;A</t>
  </si>
  <si>
    <t>Net Cashflow from Operations</t>
  </si>
  <si>
    <t>Estimated EBITDA</t>
  </si>
  <si>
    <t>Gross Margin (%)</t>
  </si>
  <si>
    <t>Take data from cells to create other charts and tables rather then out of python/SEC API since its easier and code is already running decently. I want to have net sales side by side..</t>
  </si>
  <si>
    <t>Company</t>
  </si>
  <si>
    <t>Net Cashflow from Ops</t>
  </si>
  <si>
    <t>This process must be part of each update Note: each period this is being pulled from may be different</t>
  </si>
  <si>
    <t>Most efficent company</t>
  </si>
  <si>
    <t>Leslie's, Inc. (LESL)</t>
  </si>
  <si>
    <t>N/A</t>
  </si>
  <si>
    <t>HOME DEPOT INC. (HD) | CIK: 0000354950 | 10-Q | FY: 2010 | Period: Q3 | End: 2010-10-31</t>
  </si>
  <si>
    <t>NVIDIA (NVDA) | CIK: 0001045810 | 10-Q | FY: 2026 | Period: Q2 | End: 2025-07-27</t>
  </si>
  <si>
    <t>NIKE (NKE) | CIK: 0000320187 | 10-Q | FY: 2019 | Period: Q2 | End: 2018-11-30</t>
  </si>
  <si>
    <t>Apple (AAPL) | CIK: 0000320193 | 10-K | FY: 2018 | Period: FY | End: 2018-09-29</t>
  </si>
  <si>
    <t>AT&amp;T (T) | CIK: 0000732717 | 10-Q | FY: 2025 | Period: Q2 | End: 2025-06-30</t>
  </si>
  <si>
    <t>Tesla Inc. (TSLA) | CIK: 0001318605 | 10-Q | FY: 2025 | Period: Q2 | End: 2025-06-30</t>
  </si>
  <si>
    <t>Lockheed (LKH) | CIK: 0000936468 | 10-Q | FY: 2025 | Period: Q2 | End: 2025-06-29</t>
  </si>
  <si>
    <t>Intel Corp. (INTC) | CIK: 0000789019 | 10-Q | FY: 2011 | Period: Q2 | End: 2010-12-31</t>
  </si>
  <si>
    <t>Caterpillar Inc. (CAT) | CIK: 0000104169 | 10-Q | FY: 2026 | Period: Q2 | End: 2025-07-31</t>
  </si>
  <si>
    <t>3M Company (MMM) | CIK: 0000815097 | 10-K | FY: 2018 | Period: FY | End: 2018-11-30</t>
  </si>
  <si>
    <t>General Electric (GE) | CIK: 0000021344 | 10-Q | FY: 2025 | Period: Q2 | End: 2025-06-27</t>
  </si>
  <si>
    <t>Ford Motor Co. (F) | CIK: 0000018230 | 10-Q | FY: 2025 | Period: Q2 | End: 2025-06-30</t>
  </si>
  <si>
    <t>Boeing (BA) | CIK: 0000051143 | 10-Q | FY: 2025 | Period: Q2 | End: 2025-06-30</t>
  </si>
  <si>
    <t>General Motors (GM) | CIK: 0000066740 | 10-Q | FY: 2025 | Period: Q2 | End: 2025-06-30</t>
  </si>
  <si>
    <t>Honeywell (HON) | CIK: 0001467858 | 10-Q | FY: 2025 | Period: Q2 | End: 2025-06-30</t>
  </si>
  <si>
    <t>Advanced Micro Devices (AMD) | CIK: 0000002488 | 10-Q | FY: 2018 | Period: Q3 | End: 2017-09-30</t>
  </si>
  <si>
    <t>Column1</t>
  </si>
  <si>
    <t>Form</t>
  </si>
  <si>
    <t>FY</t>
  </si>
  <si>
    <t>Period</t>
  </si>
  <si>
    <t>End Date</t>
  </si>
  <si>
    <t>CIK</t>
  </si>
  <si>
    <t>AT&amp;T (T)</t>
  </si>
  <si>
    <t>10-Q</t>
  </si>
  <si>
    <t>Q2</t>
  </si>
  <si>
    <t>HOME DEPOT INC. (HD)</t>
  </si>
  <si>
    <t>Q3</t>
  </si>
  <si>
    <t>Tesla Inc. (TSLA)</t>
  </si>
  <si>
    <t>Lockheed (LKH)</t>
  </si>
  <si>
    <t>NVIDIA (NVDA)</t>
  </si>
  <si>
    <t>NIKE (NKE)</t>
  </si>
  <si>
    <t>Apple (AAPL)</t>
  </si>
  <si>
    <t>10-K</t>
  </si>
  <si>
    <t>Intel Corp. (INTC)</t>
  </si>
  <si>
    <t>Caterpillar Inc. (CAT)</t>
  </si>
  <si>
    <t>3M Company (MMM)</t>
  </si>
  <si>
    <t>General Electric (GE)</t>
  </si>
  <si>
    <t>Ford Motor Co. (F)</t>
  </si>
  <si>
    <t>Boeing (BA)</t>
  </si>
  <si>
    <t>General Motors (GM)</t>
  </si>
  <si>
    <t>Honeywell (HON)</t>
  </si>
  <si>
    <t>Advanced Micro Devices (AMD)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</si>
</sst>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4" formatCode="&quot;$&quot;#,##0.0"/>
    <numFmt numFmtId="165" formatCode="0.0%"/>
    <numFmt numFmtId="166" formatCode="#,##0&quot; bps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i/>
      <vertAlign val="superscript"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164" fontId="0" fillId="2" borderId="0" xfId="0" applyNumberFormat="1" applyFill="1"/>
    <xf numFmtId="0" fontId="5" fillId="0" borderId="0" xfId="0" applyFont="1"/>
    <xf numFmtId="0" fontId="6" fillId="3" borderId="1" xfId="0" applyFont="1" applyFill="1" applyBorder="1"/>
    <xf numFmtId="0" fontId="0" fillId="3" borderId="1" xfId="0" applyFill="1" applyBorder="1"/>
    <xf numFmtId="0" fontId="7" fillId="0" borderId="0" xfId="0" applyFont="1"/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164" fontId="0" fillId="2" borderId="4" xfId="0" applyNumberFormat="1" applyFill="1" applyBorder="1"/>
    <xf numFmtId="164" fontId="0" fillId="0" borderId="0" xfId="0" applyNumberFormat="1"/>
    <xf numFmtId="165" fontId="7" fillId="0" borderId="0" xfId="2" applyNumberFormat="1" applyFont="1"/>
    <xf numFmtId="0" fontId="8" fillId="0" borderId="0" xfId="0" applyFont="1"/>
    <xf numFmtId="0" fontId="1" fillId="3" borderId="2" xfId="0" applyFont="1" applyFill="1" applyBorder="1"/>
    <xf numFmtId="164" fontId="1" fillId="3" borderId="5" xfId="0" applyNumberFormat="1" applyFont="1" applyFill="1" applyBorder="1"/>
    <xf numFmtId="164" fontId="1" fillId="3" borderId="2" xfId="0" applyNumberFormat="1" applyFont="1" applyFill="1" applyBorder="1"/>
    <xf numFmtId="165" fontId="9" fillId="3" borderId="2" xfId="2" applyNumberFormat="1" applyFont="1" applyFill="1" applyBorder="1"/>
    <xf numFmtId="164" fontId="1" fillId="2" borderId="5" xfId="0" applyNumberFormat="1" applyFont="1" applyFill="1" applyBorder="1"/>
    <xf numFmtId="164" fontId="1" fillId="2" borderId="2" xfId="0" applyNumberFormat="1" applyFont="1" applyFill="1" applyBorder="1"/>
    <xf numFmtId="0" fontId="4" fillId="4" borderId="5" xfId="0" applyFont="1" applyFill="1" applyBorder="1" applyAlignment="1">
      <alignment horizontal="center"/>
    </xf>
    <xf numFmtId="165" fontId="7" fillId="2" borderId="4" xfId="2" applyNumberFormat="1" applyFont="1" applyFill="1" applyBorder="1"/>
    <xf numFmtId="165" fontId="7" fillId="2" borderId="0" xfId="2" applyNumberFormat="1" applyFont="1" applyFill="1"/>
    <xf numFmtId="164" fontId="0" fillId="3" borderId="0" xfId="0" applyNumberFormat="1" applyFill="1" applyAlignment="1">
      <alignment horizontal="right"/>
    </xf>
    <xf numFmtId="166" fontId="0" fillId="0" borderId="0" xfId="1" applyNumberFormat="1" applyFont="1"/>
    <xf numFmtId="165" fontId="9" fillId="3" borderId="5" xfId="2" applyNumberFormat="1" applyFont="1" applyFill="1" applyBorder="1"/>
    <xf numFmtId="164" fontId="1" fillId="3" borderId="2" xfId="0" applyNumberFormat="1" applyFont="1" applyFill="1" applyBorder="1" applyAlignment="1">
      <alignment horizontal="right"/>
    </xf>
    <xf numFmtId="166" fontId="1" fillId="3" borderId="2" xfId="1" applyNumberFormat="1" applyFont="1" applyFill="1" applyBorder="1"/>
    <xf numFmtId="165" fontId="9" fillId="2" borderId="5" xfId="2" applyNumberFormat="1" applyFont="1" applyFill="1" applyBorder="1"/>
    <xf numFmtId="165" fontId="9" fillId="2" borderId="2" xfId="2" applyNumberFormat="1" applyFont="1" applyFill="1" applyBorder="1"/>
    <xf numFmtId="0" fontId="1" fillId="3" borderId="1" xfId="0" applyFont="1" applyFill="1" applyBorder="1"/>
    <xf numFmtId="0" fontId="10" fillId="0" borderId="0" xfId="0" applyFont="1"/>
    <xf numFmtId="43" fontId="0" fillId="0" borderId="0" xfId="1" applyFont="1"/>
    <xf numFmtId="6" fontId="0" fillId="0" borderId="0" xfId="0" applyNumberFormat="1"/>
    <xf numFmtId="9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6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0" fontId="0" fillId="5" borderId="0" xfId="0" applyFill="1"/>
    <xf numFmtId="0" fontId="1" fillId="0" borderId="0" xfId="0" applyFont="1" applyAlignment="1">
      <alignment vertical="center" wrapText="1"/>
    </xf>
    <xf numFmtId="0" fontId="1" fillId="6" borderId="0" xfId="0" applyFont="1" applyFill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9">
    <dxf>
      <numFmt numFmtId="13" formatCode="0%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numFmt numFmtId="10" formatCode="&quot;$&quot;#,##0_);[Red]\(&quot;$&quot;#,##0\)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Data!$K$3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Data!$K$4:$K$10</c:f>
              <c:numCache>
                <c:formatCode>"$"#,##0_);[Red]\("$"#,##0\)</c:formatCode>
                <c:ptCount val="7"/>
                <c:pt idx="0">
                  <c:v>1010400000</c:v>
                </c:pt>
                <c:pt idx="1">
                  <c:v>1071526000</c:v>
                </c:pt>
                <c:pt idx="2">
                  <c:v>963900000</c:v>
                </c:pt>
                <c:pt idx="3">
                  <c:v>1177300000</c:v>
                </c:pt>
                <c:pt idx="4">
                  <c:v>228841000</c:v>
                </c:pt>
                <c:pt idx="5">
                  <c:v>111420000</c:v>
                </c:pt>
                <c:pt idx="6">
                  <c:v>352362000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17-40E9-8F90-F64CEFF49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7403296"/>
        <c:axId val="797400416"/>
      </c:barChart>
      <c:catAx>
        <c:axId val="79740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0416"/>
        <c:crosses val="autoZero"/>
        <c:auto val="1"/>
        <c:lblAlgn val="ctr"/>
        <c:lblOffset val="100"/>
        <c:noMultiLvlLbl val="0"/>
      </c:catAx>
      <c:valAx>
        <c:axId val="79740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40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Data!$P$3</c:f>
              <c:strCache>
                <c:ptCount val="1"/>
                <c:pt idx="0">
                  <c:v>Gross Margin (%)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Data!$J$4:$J$10</c:f>
              <c:numCache>
                <c:formatCode>General</c:formatCode>
                <c:ptCount val="7"/>
              </c:numCache>
            </c:numRef>
          </c:cat>
          <c:val>
            <c:numRef>
              <c:f>Data!$P$4:$P$10</c:f>
              <c:numCache>
                <c:formatCode>0%</c:formatCode>
                <c:ptCount val="7"/>
                <c:pt idx="0">
                  <c:v>0.4</c:v>
                </c:pt>
                <c:pt idx="1">
                  <c:v>0.28999999999999998</c:v>
                </c:pt>
                <c:pt idx="2">
                  <c:v>0.39</c:v>
                </c:pt>
                <c:pt idx="3">
                  <c:v>0.23</c:v>
                </c:pt>
                <c:pt idx="4">
                  <c:v>0.5</c:v>
                </c:pt>
                <c:pt idx="5">
                  <c:v>0.3</c:v>
                </c:pt>
                <c:pt idx="6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42-4CC2-B8A3-4FB861362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2779840"/>
        <c:axId val="802780320"/>
      </c:barChart>
      <c:catAx>
        <c:axId val="80277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80320"/>
        <c:crosses val="autoZero"/>
        <c:auto val="1"/>
        <c:lblAlgn val="ctr"/>
        <c:lblOffset val="100"/>
        <c:noMultiLvlLbl val="0"/>
      </c:catAx>
      <c:valAx>
        <c:axId val="8027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27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1181100</xdr:colOff>
          <xdr:row>3</xdr:row>
          <xdr:rowOff>349250</xdr:rowOff>
        </xdr:from>
        <xdr:to>
          <xdr:col>13</xdr:col>
          <xdr:colOff>355600</xdr:colOff>
          <xdr:row>8</xdr:row>
          <xdr:rowOff>82550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Get Newest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337457</xdr:colOff>
      <xdr:row>13</xdr:row>
      <xdr:rowOff>157843</xdr:rowOff>
    </xdr:from>
    <xdr:to>
      <xdr:col>11</xdr:col>
      <xdr:colOff>1328057</xdr:colOff>
      <xdr:row>28</xdr:row>
      <xdr:rowOff>125185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32E158D-22BE-8C90-EB64-6EFFF0843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664029</xdr:colOff>
      <xdr:row>13</xdr:row>
      <xdr:rowOff>81643</xdr:rowOff>
    </xdr:from>
    <xdr:to>
      <xdr:col>16</xdr:col>
      <xdr:colOff>381000</xdr:colOff>
      <xdr:row>28</xdr:row>
      <xdr:rowOff>48985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FE18D1-FBED-3AC4-2E84-0013761A8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0604F-3888-4E73-8CB1-B79300657C3E}" name="CompanyData" displayName="CompanyData" ref="J3:P10" totalsRowShown="0" headerRowDxfId="8" dataDxfId="7">
  <autoFilter ref="J3:P10" xr:uid="{13D0604F-3888-4E73-8CB1-B79300657C3E}"/>
  <tableColumns count="7">
    <tableColumn id="1" xr3:uid="{E70DE6B4-0EB8-45C3-9392-EA36D6290C8E}" name="Column1" dataDxfId="6"/>
    <tableColumn id="2" xr3:uid="{B282E0AF-4C75-4B45-A607-7C8461C8C2B1}" name="Net Sales" dataDxfId="5"/>
    <tableColumn id="3" xr3:uid="{32BF625A-5671-4ADE-A46D-56AD83CA76DB}" name="Gross Profit" dataDxfId="4"/>
    <tableColumn id="4" xr3:uid="{D29EB289-3BD9-467E-835B-0D1420BCA309}" name="SG&amp;A" dataDxfId="3"/>
    <tableColumn id="5" xr3:uid="{3DFB9CD9-D6CE-41D5-BAB9-DFAC2CD1E133}" name="Net Cashflow from Ops" dataDxfId="2"/>
    <tableColumn id="6" xr3:uid="{A21BFD23-0329-4DD9-84AE-67C3A7BE9120}" name="Estimated EBITDA" dataDxfId="1"/>
    <tableColumn id="7" xr3:uid="{A58B4783-D5B6-413F-A8C6-E2271F1DA0AA}" name="Gross Margin (%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C12B6-6D71-4A18-B7A4-E78E0867557A}">
  <sheetPr codeName="Sheet3"/>
  <dimension ref="A4:O523"/>
  <sheetViews>
    <sheetView topLeftCell="G1" zoomScale="70" zoomScaleNormal="70" workbookViewId="0">
      <selection activeCell="M12" sqref="M12"/>
    </sheetView>
  </sheetViews>
  <sheetFormatPr defaultColWidth="17.54296875" defaultRowHeight="14.5" x14ac:dyDescent="0.35"/>
  <sheetData>
    <row r="4" spans="1:15" ht="28.5" x14ac:dyDescent="0.65">
      <c r="A4" s="3" t="s">
        <v>0</v>
      </c>
    </row>
    <row r="5" spans="1:15" ht="18.5" x14ac:dyDescent="0.45">
      <c r="A5" s="4" t="s">
        <v>22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5" x14ac:dyDescent="0.35">
      <c r="A6" s="6"/>
    </row>
    <row r="7" spans="1:15" x14ac:dyDescent="0.35">
      <c r="A7" s="6" t="s">
        <v>1</v>
      </c>
      <c r="G7" s="6" t="s">
        <v>1</v>
      </c>
      <c r="O7" s="33"/>
    </row>
    <row r="8" spans="1:15" x14ac:dyDescent="0.35">
      <c r="A8" s="7" t="s">
        <v>2</v>
      </c>
      <c r="B8" s="8">
        <v>2024</v>
      </c>
      <c r="C8" s="9">
        <v>2023</v>
      </c>
      <c r="D8" s="7" t="s">
        <v>3</v>
      </c>
      <c r="E8" s="7" t="s">
        <v>4</v>
      </c>
      <c r="G8" s="9" t="s">
        <v>5</v>
      </c>
      <c r="H8" s="8">
        <v>2024</v>
      </c>
      <c r="I8" s="9">
        <v>2023</v>
      </c>
      <c r="J8" s="9" t="s">
        <v>3</v>
      </c>
      <c r="K8" s="9" t="s">
        <v>4</v>
      </c>
      <c r="O8" s="33"/>
    </row>
    <row r="9" spans="1:15" x14ac:dyDescent="0.35">
      <c r="A9" t="s">
        <v>6</v>
      </c>
      <c r="B9" s="10">
        <v>987</v>
      </c>
      <c r="C9" s="2">
        <v>1003</v>
      </c>
      <c r="D9" s="11">
        <f t="shared" ref="D9:D16" si="0">+B9-C9</f>
        <v>-16</v>
      </c>
      <c r="E9" s="12">
        <f t="shared" ref="E9:E17" si="1">IFERROR(D9/C9,0)</f>
        <v>-1.5952143569292122E-2</v>
      </c>
      <c r="G9" t="s">
        <v>6</v>
      </c>
      <c r="H9" s="10">
        <v>5310</v>
      </c>
      <c r="I9" s="2">
        <v>5541</v>
      </c>
      <c r="J9" s="11">
        <f t="shared" ref="J9:J16" si="2">+H9-I9</f>
        <v>-231</v>
      </c>
      <c r="K9" s="12">
        <f t="shared" ref="K9:K17" si="3">IFERROR(J9/I9,0)</f>
        <v>-4.1689225771521385E-2</v>
      </c>
      <c r="O9" s="33"/>
    </row>
    <row r="10" spans="1:15" x14ac:dyDescent="0.35">
      <c r="A10" t="s">
        <v>7</v>
      </c>
      <c r="B10" s="10">
        <v>912.4</v>
      </c>
      <c r="C10" s="2">
        <v>988.1</v>
      </c>
      <c r="D10" s="11">
        <f t="shared" si="0"/>
        <v>-75.700000000000045</v>
      </c>
      <c r="E10" s="12">
        <f t="shared" si="1"/>
        <v>-7.6611678979860376E-2</v>
      </c>
      <c r="G10" t="s">
        <v>7</v>
      </c>
      <c r="H10" s="10">
        <v>3818</v>
      </c>
      <c r="I10" s="2">
        <v>3853</v>
      </c>
      <c r="J10" s="11">
        <f t="shared" si="2"/>
        <v>-35</v>
      </c>
      <c r="K10" s="12">
        <f t="shared" si="3"/>
        <v>-9.0838307812094472E-3</v>
      </c>
      <c r="O10" s="33"/>
    </row>
    <row r="11" spans="1:15" x14ac:dyDescent="0.35">
      <c r="A11" t="s">
        <v>8</v>
      </c>
      <c r="B11" s="10">
        <v>483.1</v>
      </c>
      <c r="C11" s="2">
        <v>443.6</v>
      </c>
      <c r="D11" s="11">
        <f t="shared" si="0"/>
        <v>39.5</v>
      </c>
      <c r="E11" s="12">
        <f t="shared" si="1"/>
        <v>8.9044183949504058E-2</v>
      </c>
      <c r="G11" t="s">
        <v>8</v>
      </c>
      <c r="H11" s="2">
        <v>2183</v>
      </c>
      <c r="I11" s="10">
        <v>2130.6999999999998</v>
      </c>
      <c r="J11" s="11">
        <f t="shared" si="2"/>
        <v>52.300000000000182</v>
      </c>
      <c r="K11" s="12">
        <f t="shared" si="3"/>
        <v>2.4545923874783021E-2</v>
      </c>
      <c r="M11" s="33"/>
      <c r="O11" s="33"/>
    </row>
    <row r="12" spans="1:15" x14ac:dyDescent="0.35">
      <c r="A12" s="13" t="s">
        <v>9</v>
      </c>
      <c r="B12" s="10">
        <v>540</v>
      </c>
      <c r="C12" s="2">
        <v>548</v>
      </c>
      <c r="D12" s="11">
        <f t="shared" si="0"/>
        <v>-8</v>
      </c>
      <c r="E12" s="12">
        <f t="shared" si="1"/>
        <v>-1.4598540145985401E-2</v>
      </c>
      <c r="G12" t="s">
        <v>9</v>
      </c>
      <c r="H12" s="10">
        <v>2252</v>
      </c>
      <c r="I12" s="2">
        <v>2056</v>
      </c>
      <c r="J12" s="11">
        <f t="shared" si="2"/>
        <v>196</v>
      </c>
      <c r="K12" s="12">
        <f t="shared" si="3"/>
        <v>9.5330739299610889E-2</v>
      </c>
      <c r="O12" s="34"/>
    </row>
    <row r="13" spans="1:15" x14ac:dyDescent="0.35">
      <c r="A13" t="s">
        <v>10</v>
      </c>
      <c r="B13" s="10">
        <v>397.8</v>
      </c>
      <c r="C13" s="2">
        <v>432.4</v>
      </c>
      <c r="D13" s="11">
        <f t="shared" si="0"/>
        <v>-34.599999999999966</v>
      </c>
      <c r="E13" s="12">
        <f t="shared" si="1"/>
        <v>-8.0018501387603996E-2</v>
      </c>
      <c r="G13" t="s">
        <v>10</v>
      </c>
      <c r="H13" s="10">
        <v>1330.1</v>
      </c>
      <c r="I13" s="2">
        <v>1451.2</v>
      </c>
      <c r="J13" s="11">
        <f t="shared" si="2"/>
        <v>-121.10000000000014</v>
      </c>
      <c r="K13" s="12">
        <f t="shared" si="3"/>
        <v>-8.3448180815876613E-2</v>
      </c>
      <c r="N13" s="33"/>
      <c r="O13" s="33"/>
    </row>
    <row r="14" spans="1:15" ht="16.5" x14ac:dyDescent="0.35">
      <c r="A14" t="s">
        <v>11</v>
      </c>
      <c r="B14" s="10">
        <v>972.9</v>
      </c>
      <c r="C14" s="2">
        <v>984.6</v>
      </c>
      <c r="D14" s="11">
        <f t="shared" si="0"/>
        <v>-11.700000000000045</v>
      </c>
      <c r="E14" s="12">
        <f t="shared" si="1"/>
        <v>-1.188299817184648E-2</v>
      </c>
      <c r="G14" t="s">
        <v>11</v>
      </c>
      <c r="H14" s="10">
        <v>4082.8</v>
      </c>
      <c r="I14" s="2">
        <v>4104.5</v>
      </c>
      <c r="J14" s="11">
        <f t="shared" si="2"/>
        <v>-21.699999999999818</v>
      </c>
      <c r="K14" s="12">
        <f t="shared" si="3"/>
        <v>-5.2868802533803921E-3</v>
      </c>
      <c r="N14" s="33"/>
      <c r="O14" s="33"/>
    </row>
    <row r="15" spans="1:15" x14ac:dyDescent="0.35">
      <c r="A15" t="s">
        <v>12</v>
      </c>
      <c r="B15" s="10">
        <v>327.10000000000002</v>
      </c>
      <c r="C15" s="2">
        <v>278.5</v>
      </c>
      <c r="D15" s="11">
        <f t="shared" si="0"/>
        <v>48.600000000000023</v>
      </c>
      <c r="E15" s="12">
        <f t="shared" si="1"/>
        <v>0.17450628366247764</v>
      </c>
      <c r="G15" t="s">
        <v>12</v>
      </c>
      <c r="H15" s="10">
        <v>1051</v>
      </c>
      <c r="I15" s="2">
        <v>992.4</v>
      </c>
      <c r="J15" s="11">
        <f t="shared" si="2"/>
        <v>58.600000000000023</v>
      </c>
      <c r="K15" s="12">
        <f t="shared" si="3"/>
        <v>5.9048770656993176E-2</v>
      </c>
      <c r="N15" s="33"/>
      <c r="O15" s="33"/>
    </row>
    <row r="16" spans="1:15" x14ac:dyDescent="0.35">
      <c r="A16" s="13" t="s">
        <v>13</v>
      </c>
      <c r="B16" s="10">
        <v>87.2</v>
      </c>
      <c r="C16" s="2">
        <v>90.8</v>
      </c>
      <c r="D16" s="11">
        <f t="shared" si="0"/>
        <v>-3.5999999999999943</v>
      </c>
      <c r="E16" s="12">
        <f t="shared" si="1"/>
        <v>-3.9647577092510954E-2</v>
      </c>
      <c r="G16" t="s">
        <v>13</v>
      </c>
      <c r="H16" s="10">
        <v>508</v>
      </c>
      <c r="I16" s="2">
        <v>566</v>
      </c>
      <c r="J16" s="11">
        <f t="shared" si="2"/>
        <v>-58</v>
      </c>
      <c r="K16" s="12">
        <f t="shared" si="3"/>
        <v>-0.10247349823321555</v>
      </c>
      <c r="N16" s="33"/>
      <c r="O16" s="33"/>
    </row>
    <row r="17" spans="1:15" x14ac:dyDescent="0.35">
      <c r="A17" s="14" t="s">
        <v>14</v>
      </c>
      <c r="B17" s="15">
        <f>SUM(B13:B14)</f>
        <v>1370.7</v>
      </c>
      <c r="C17" s="16">
        <f>SUM(C13:C14)</f>
        <v>1417</v>
      </c>
      <c r="D17" s="16">
        <f>SUM(D13:D14)</f>
        <v>-46.300000000000011</v>
      </c>
      <c r="E17" s="17">
        <f t="shared" si="1"/>
        <v>-3.2674664784756537E-2</v>
      </c>
      <c r="G17" s="14" t="s">
        <v>14</v>
      </c>
      <c r="H17" s="15">
        <f>SUM(H13:H14)</f>
        <v>5412.9</v>
      </c>
      <c r="I17" s="16">
        <f>SUM(I13:I14)</f>
        <v>5555.7</v>
      </c>
      <c r="J17" s="16">
        <f>SUM(J13:J14)</f>
        <v>-142.79999999999995</v>
      </c>
      <c r="K17" s="17">
        <f t="shared" si="3"/>
        <v>-2.5703331713375445E-2</v>
      </c>
      <c r="N17" s="33"/>
      <c r="O17" s="33"/>
    </row>
    <row r="18" spans="1:15" x14ac:dyDescent="0.35">
      <c r="N18" s="34"/>
      <c r="O18" s="34"/>
    </row>
    <row r="19" spans="1:15" x14ac:dyDescent="0.35">
      <c r="A19" s="14" t="s">
        <v>0</v>
      </c>
      <c r="B19" s="18">
        <v>203.2</v>
      </c>
      <c r="C19" s="19">
        <v>199.6</v>
      </c>
      <c r="D19" s="16">
        <f>+B19-C19</f>
        <v>3.5999999999999943</v>
      </c>
      <c r="E19" s="17">
        <f>IFERROR(D19/C19,0)</f>
        <v>1.803607214428855E-2</v>
      </c>
      <c r="G19" s="14" t="s">
        <v>0</v>
      </c>
      <c r="H19" s="18">
        <v>752.4</v>
      </c>
      <c r="I19" s="19">
        <v>845.9</v>
      </c>
      <c r="J19" s="16">
        <f>+H19-I19</f>
        <v>-93.5</v>
      </c>
      <c r="K19" s="17">
        <f>IFERROR(J19/I19,0)</f>
        <v>-0.11053315994798441</v>
      </c>
      <c r="O19" s="33"/>
    </row>
    <row r="20" spans="1:15" x14ac:dyDescent="0.35">
      <c r="B20" s="1"/>
      <c r="C20" s="1"/>
      <c r="O20" s="34"/>
    </row>
    <row r="21" spans="1:15" x14ac:dyDescent="0.35">
      <c r="A21" s="6"/>
      <c r="G21" s="6"/>
      <c r="N21" s="33"/>
      <c r="O21" s="33"/>
    </row>
    <row r="22" spans="1:15" x14ac:dyDescent="0.35">
      <c r="A22" s="7" t="s">
        <v>15</v>
      </c>
      <c r="B22" s="20">
        <v>2024</v>
      </c>
      <c r="C22" s="7">
        <v>2023</v>
      </c>
      <c r="D22" s="7" t="s">
        <v>3</v>
      </c>
      <c r="E22" s="7" t="s">
        <v>4</v>
      </c>
      <c r="G22" s="7" t="s">
        <v>16</v>
      </c>
      <c r="H22" s="20">
        <v>2024</v>
      </c>
      <c r="I22" s="7">
        <v>2023</v>
      </c>
      <c r="J22" s="7" t="s">
        <v>3</v>
      </c>
      <c r="K22" s="7" t="s">
        <v>4</v>
      </c>
      <c r="N22" s="33"/>
      <c r="O22" s="33"/>
    </row>
    <row r="23" spans="1:15" x14ac:dyDescent="0.35">
      <c r="A23" t="s">
        <v>6</v>
      </c>
      <c r="B23" s="10">
        <v>170.2</v>
      </c>
      <c r="C23" s="2">
        <v>201.7</v>
      </c>
      <c r="D23" s="11">
        <f t="shared" ref="D23:D30" si="4">+B23-C23</f>
        <v>-31.5</v>
      </c>
      <c r="E23" s="12">
        <f t="shared" ref="E23:E31" si="5">IFERROR(D23/C23,0)</f>
        <v>-0.15617253346554288</v>
      </c>
      <c r="G23" t="s">
        <v>6</v>
      </c>
      <c r="H23" s="10">
        <v>680.9</v>
      </c>
      <c r="I23" s="2">
        <v>806.9</v>
      </c>
      <c r="J23" s="11">
        <f t="shared" ref="J23:J30" si="6">+H23-I23</f>
        <v>-126</v>
      </c>
      <c r="K23" s="12">
        <f t="shared" ref="K23:K31" si="7">IFERROR(J23/I23,0)</f>
        <v>-0.1561531788325691</v>
      </c>
      <c r="N23" s="33"/>
      <c r="O23" s="33"/>
    </row>
    <row r="24" spans="1:15" x14ac:dyDescent="0.35">
      <c r="A24" s="13" t="s">
        <v>7</v>
      </c>
      <c r="B24" s="10">
        <v>165.1</v>
      </c>
      <c r="C24" s="2">
        <v>196.9</v>
      </c>
      <c r="D24" s="11">
        <f t="shared" si="4"/>
        <v>-31.800000000000011</v>
      </c>
      <c r="E24" s="12">
        <f t="shared" si="5"/>
        <v>-0.16150330116810568</v>
      </c>
      <c r="G24" t="s">
        <v>7</v>
      </c>
      <c r="H24" s="10">
        <v>785.9</v>
      </c>
      <c r="I24" s="2">
        <v>823.8</v>
      </c>
      <c r="J24" s="11">
        <f t="shared" si="6"/>
        <v>-37.899999999999977</v>
      </c>
      <c r="K24" s="12">
        <f t="shared" si="7"/>
        <v>-4.6006312211701844E-2</v>
      </c>
      <c r="N24" s="33"/>
      <c r="O24" s="33"/>
    </row>
    <row r="25" spans="1:15" x14ac:dyDescent="0.35">
      <c r="A25" t="s">
        <v>8</v>
      </c>
      <c r="B25" s="10">
        <v>115.6</v>
      </c>
      <c r="C25" s="2">
        <v>123.9</v>
      </c>
      <c r="D25" s="11">
        <f t="shared" si="4"/>
        <v>-8.3000000000000114</v>
      </c>
      <c r="E25" s="12">
        <f t="shared" si="5"/>
        <v>-6.6989507667473858E-2</v>
      </c>
      <c r="G25" t="s">
        <v>8</v>
      </c>
      <c r="H25" s="10">
        <v>462.3</v>
      </c>
      <c r="I25" s="2">
        <v>495.5</v>
      </c>
      <c r="J25" s="11">
        <f t="shared" si="6"/>
        <v>-33.199999999999989</v>
      </c>
      <c r="K25" s="12">
        <f t="shared" si="7"/>
        <v>-6.7003027245206834E-2</v>
      </c>
      <c r="N25" s="33"/>
      <c r="O25" s="33"/>
    </row>
    <row r="26" spans="1:15" x14ac:dyDescent="0.35">
      <c r="A26" t="s">
        <v>9</v>
      </c>
      <c r="B26" s="10">
        <v>104</v>
      </c>
      <c r="C26" s="2">
        <v>97</v>
      </c>
      <c r="D26" s="11">
        <f t="shared" si="4"/>
        <v>7</v>
      </c>
      <c r="E26" s="12">
        <f t="shared" si="5"/>
        <v>7.2164948453608241E-2</v>
      </c>
      <c r="G26" t="s">
        <v>9</v>
      </c>
      <c r="H26" s="10">
        <v>454</v>
      </c>
      <c r="I26" s="2">
        <v>404</v>
      </c>
      <c r="J26" s="11">
        <f t="shared" si="6"/>
        <v>50</v>
      </c>
      <c r="K26" s="12">
        <f t="shared" si="7"/>
        <v>0.12376237623762376</v>
      </c>
      <c r="N26" s="34"/>
      <c r="O26" s="34"/>
    </row>
    <row r="27" spans="1:15" x14ac:dyDescent="0.35">
      <c r="A27" t="s">
        <v>10</v>
      </c>
      <c r="B27" s="10">
        <v>42.9</v>
      </c>
      <c r="C27" s="2">
        <v>59.5</v>
      </c>
      <c r="D27" s="11">
        <f t="shared" si="4"/>
        <v>-16.600000000000001</v>
      </c>
      <c r="E27" s="12">
        <f t="shared" si="5"/>
        <v>-0.27899159663865547</v>
      </c>
      <c r="G27" t="s">
        <v>10</v>
      </c>
      <c r="H27" s="10">
        <v>108.7</v>
      </c>
      <c r="I27" s="2">
        <v>168.1</v>
      </c>
      <c r="J27" s="11">
        <f t="shared" si="6"/>
        <v>-59.399999999999991</v>
      </c>
      <c r="K27" s="12">
        <f t="shared" si="7"/>
        <v>-0.35336109458655557</v>
      </c>
      <c r="O27" s="33"/>
    </row>
    <row r="28" spans="1:15" ht="16.5" x14ac:dyDescent="0.35">
      <c r="A28" t="s">
        <v>11</v>
      </c>
      <c r="B28" s="10">
        <v>210.1</v>
      </c>
      <c r="C28" s="2">
        <v>181.8</v>
      </c>
      <c r="D28" s="11">
        <f t="shared" si="4"/>
        <v>28.299999999999983</v>
      </c>
      <c r="E28" s="12">
        <f t="shared" si="5"/>
        <v>0.15566556655665556</v>
      </c>
      <c r="G28" t="s">
        <v>11</v>
      </c>
      <c r="H28" s="10">
        <v>101.9</v>
      </c>
      <c r="I28" s="2">
        <v>91.4</v>
      </c>
      <c r="J28" s="11">
        <f t="shared" si="6"/>
        <v>10.5</v>
      </c>
      <c r="K28" s="12">
        <f t="shared" si="7"/>
        <v>0.1148796498905908</v>
      </c>
      <c r="O28" s="34"/>
    </row>
    <row r="29" spans="1:15" x14ac:dyDescent="0.35">
      <c r="A29" t="s">
        <v>12</v>
      </c>
      <c r="B29" s="10">
        <v>98.7</v>
      </c>
      <c r="C29" s="2">
        <v>75.599999999999994</v>
      </c>
      <c r="D29" s="11">
        <f t="shared" si="4"/>
        <v>23.100000000000009</v>
      </c>
      <c r="E29" s="12">
        <f t="shared" si="5"/>
        <v>0.30555555555555569</v>
      </c>
      <c r="G29" t="s">
        <v>12</v>
      </c>
      <c r="H29" s="10">
        <v>277.5</v>
      </c>
      <c r="I29" s="2">
        <v>247.3</v>
      </c>
      <c r="J29" s="11">
        <f t="shared" si="6"/>
        <v>30.199999999999989</v>
      </c>
      <c r="K29" s="12">
        <f t="shared" si="7"/>
        <v>0.12211888394662349</v>
      </c>
      <c r="N29" s="33"/>
      <c r="O29" s="33"/>
    </row>
    <row r="30" spans="1:15" x14ac:dyDescent="0.35">
      <c r="A30" t="s">
        <v>13</v>
      </c>
      <c r="B30" s="10">
        <v>3.6</v>
      </c>
      <c r="C30" s="2">
        <v>9.9</v>
      </c>
      <c r="D30" s="11">
        <f t="shared" si="4"/>
        <v>-6.3000000000000007</v>
      </c>
      <c r="E30" s="12">
        <f t="shared" si="5"/>
        <v>-0.63636363636363646</v>
      </c>
      <c r="G30" t="s">
        <v>13</v>
      </c>
      <c r="H30" s="10">
        <v>80.2</v>
      </c>
      <c r="I30" s="2">
        <v>88</v>
      </c>
      <c r="J30" s="11">
        <f t="shared" si="6"/>
        <v>-7.7999999999999972</v>
      </c>
      <c r="K30" s="12">
        <f t="shared" si="7"/>
        <v>-8.863636363636361E-2</v>
      </c>
      <c r="N30" s="33"/>
      <c r="O30" s="33"/>
    </row>
    <row r="31" spans="1:15" x14ac:dyDescent="0.35">
      <c r="A31" s="14" t="s">
        <v>14</v>
      </c>
      <c r="B31" s="15">
        <f>SUM(B27:B28)</f>
        <v>253</v>
      </c>
      <c r="C31" s="16">
        <f>SUM(C27:C28)</f>
        <v>241.3</v>
      </c>
      <c r="D31" s="16">
        <f>SUM(D27:D28)</f>
        <v>11.699999999999982</v>
      </c>
      <c r="E31" s="17">
        <f t="shared" si="5"/>
        <v>4.8487360132614926E-2</v>
      </c>
      <c r="G31" s="14" t="s">
        <v>14</v>
      </c>
      <c r="H31" s="15">
        <f>SUM(H27:H28)</f>
        <v>210.60000000000002</v>
      </c>
      <c r="I31" s="16">
        <f>SUM(I27:I28)</f>
        <v>259.5</v>
      </c>
      <c r="J31" s="16">
        <f>SUM(J27:J28)</f>
        <v>-48.899999999999991</v>
      </c>
      <c r="K31" s="17">
        <f t="shared" si="7"/>
        <v>-0.18843930635838146</v>
      </c>
      <c r="N31" s="33"/>
      <c r="O31" s="33"/>
    </row>
    <row r="32" spans="1:15" x14ac:dyDescent="0.35">
      <c r="N32" s="33"/>
      <c r="O32" s="33"/>
    </row>
    <row r="33" spans="1:15" x14ac:dyDescent="0.35">
      <c r="A33" s="14" t="s">
        <v>0</v>
      </c>
      <c r="B33" s="18">
        <v>24</v>
      </c>
      <c r="C33" s="19">
        <v>12.8</v>
      </c>
      <c r="D33" s="16">
        <f>+B33-C33</f>
        <v>11.2</v>
      </c>
      <c r="E33" s="17">
        <f>IFERROR(D33/C33,0)</f>
        <v>0.87499999999999989</v>
      </c>
      <c r="G33" s="14" t="s">
        <v>0</v>
      </c>
      <c r="H33" s="18">
        <v>77.3</v>
      </c>
      <c r="I33" s="19">
        <v>56.9</v>
      </c>
      <c r="J33" s="16">
        <f>+H33-I33</f>
        <v>20.399999999999999</v>
      </c>
      <c r="K33" s="17">
        <f>IFERROR(J33/I33,0)</f>
        <v>0.35852372583479786</v>
      </c>
      <c r="N33" s="33"/>
      <c r="O33" s="33"/>
    </row>
    <row r="34" spans="1:15" x14ac:dyDescent="0.35">
      <c r="N34" s="34"/>
      <c r="O34" s="34"/>
    </row>
    <row r="35" spans="1:15" x14ac:dyDescent="0.35">
      <c r="M35" s="32"/>
      <c r="O35" s="33"/>
    </row>
    <row r="36" spans="1:15" x14ac:dyDescent="0.35">
      <c r="A36" s="7" t="s">
        <v>17</v>
      </c>
      <c r="B36" s="20">
        <v>2024</v>
      </c>
      <c r="C36" s="7">
        <v>2023</v>
      </c>
      <c r="D36" s="7" t="s">
        <v>3</v>
      </c>
      <c r="E36" s="7" t="s">
        <v>4</v>
      </c>
      <c r="G36" s="7" t="s">
        <v>18</v>
      </c>
      <c r="H36" s="20">
        <v>2024</v>
      </c>
      <c r="I36" s="7">
        <v>2023</v>
      </c>
      <c r="J36" s="7" t="s">
        <v>3</v>
      </c>
      <c r="K36" s="7" t="s">
        <v>4</v>
      </c>
      <c r="O36" s="34"/>
    </row>
    <row r="37" spans="1:15" x14ac:dyDescent="0.35">
      <c r="A37" t="s">
        <v>6</v>
      </c>
      <c r="B37" s="21">
        <f>IFERROR(B23/B9,0)</f>
        <v>0.1724417426545086</v>
      </c>
      <c r="C37" s="22">
        <f t="shared" ref="B37:C45" si="8">IFERROR(C23/C9,0)</f>
        <v>0.20109670987038883</v>
      </c>
      <c r="D37" s="23" t="s">
        <v>19</v>
      </c>
      <c r="E37" s="24">
        <f t="shared" ref="E37:E45" si="9">IFERROR((B37-C37)*10000,0)</f>
        <v>-286.54967215880231</v>
      </c>
      <c r="G37" t="s">
        <v>6</v>
      </c>
      <c r="H37" s="21">
        <f>IFERROR(H23/H9,0)</f>
        <v>0.12822975517890772</v>
      </c>
      <c r="I37" s="22">
        <f>IFERROR(I23/I9,0)</f>
        <v>0.14562353365818445</v>
      </c>
      <c r="J37" s="23" t="s">
        <v>19</v>
      </c>
      <c r="K37" s="24">
        <f t="shared" ref="K37:K45" si="10">IFERROR((H37-I37)*10000,0)</f>
        <v>-173.93778479276727</v>
      </c>
      <c r="M37" s="32"/>
      <c r="N37" s="33"/>
      <c r="O37" s="33"/>
    </row>
    <row r="38" spans="1:15" x14ac:dyDescent="0.35">
      <c r="A38" t="s">
        <v>7</v>
      </c>
      <c r="B38" s="21">
        <f t="shared" si="8"/>
        <v>0.18095133713283648</v>
      </c>
      <c r="C38" s="22">
        <f t="shared" si="8"/>
        <v>0.19927132881287318</v>
      </c>
      <c r="D38" s="23" t="s">
        <v>19</v>
      </c>
      <c r="E38" s="24">
        <f t="shared" si="9"/>
        <v>-183.19991680036702</v>
      </c>
      <c r="G38" t="s">
        <v>7</v>
      </c>
      <c r="H38" s="21">
        <f t="shared" ref="H38:I45" si="11">IFERROR(H24/H10,0)</f>
        <v>0.20584075432163434</v>
      </c>
      <c r="I38" s="22">
        <f t="shared" si="11"/>
        <v>0.21380742278743836</v>
      </c>
      <c r="J38" s="23" t="s">
        <v>19</v>
      </c>
      <c r="K38" s="24">
        <f t="shared" si="10"/>
        <v>-79.666684658040168</v>
      </c>
      <c r="N38" s="33"/>
      <c r="O38" s="33"/>
    </row>
    <row r="39" spans="1:15" x14ac:dyDescent="0.35">
      <c r="A39" t="s">
        <v>8</v>
      </c>
      <c r="B39" s="21">
        <f t="shared" si="8"/>
        <v>0.2392879321051542</v>
      </c>
      <c r="C39" s="22">
        <f t="shared" si="8"/>
        <v>0.27930568079350765</v>
      </c>
      <c r="D39" s="23" t="s">
        <v>19</v>
      </c>
      <c r="E39" s="24">
        <f t="shared" si="9"/>
        <v>-400.17748688353447</v>
      </c>
      <c r="G39" t="s">
        <v>8</v>
      </c>
      <c r="H39" s="21">
        <f>IFERROR(H25/H11,0)</f>
        <v>0.21177278973889144</v>
      </c>
      <c r="I39" s="22">
        <f t="shared" si="11"/>
        <v>0.23255268221711176</v>
      </c>
      <c r="J39" s="23" t="s">
        <v>19</v>
      </c>
      <c r="K39" s="24">
        <f t="shared" si="10"/>
        <v>-207.79892478220319</v>
      </c>
      <c r="N39" s="33"/>
      <c r="O39" s="33"/>
    </row>
    <row r="40" spans="1:15" x14ac:dyDescent="0.35">
      <c r="A40" t="s">
        <v>9</v>
      </c>
      <c r="B40" s="21">
        <f>IFERROR(B26/B12,0)</f>
        <v>0.19259259259259259</v>
      </c>
      <c r="C40" s="22">
        <f>IFERROR(C26/C12,0)</f>
        <v>0.177007299270073</v>
      </c>
      <c r="D40" s="23" t="s">
        <v>19</v>
      </c>
      <c r="E40" s="24">
        <f t="shared" si="9"/>
        <v>155.85293322519595</v>
      </c>
      <c r="G40" t="s">
        <v>9</v>
      </c>
      <c r="H40" s="21">
        <f t="shared" si="11"/>
        <v>0.20159857904085257</v>
      </c>
      <c r="I40" s="22">
        <f t="shared" si="11"/>
        <v>0.19649805447470817</v>
      </c>
      <c r="J40" s="23" t="s">
        <v>19</v>
      </c>
      <c r="K40" s="24">
        <f t="shared" si="10"/>
        <v>51.005245661444043</v>
      </c>
      <c r="N40" s="33"/>
      <c r="O40" s="33"/>
    </row>
    <row r="41" spans="1:15" x14ac:dyDescent="0.35">
      <c r="A41" t="s">
        <v>10</v>
      </c>
      <c r="B41" s="21">
        <f t="shared" si="8"/>
        <v>0.10784313725490195</v>
      </c>
      <c r="C41" s="22">
        <f t="shared" si="8"/>
        <v>0.13760407030527291</v>
      </c>
      <c r="D41" s="23" t="s">
        <v>19</v>
      </c>
      <c r="E41" s="24">
        <f t="shared" si="9"/>
        <v>-297.6093305037096</v>
      </c>
      <c r="G41" t="s">
        <v>10</v>
      </c>
      <c r="H41" s="21">
        <f t="shared" si="11"/>
        <v>8.1723178708367802E-2</v>
      </c>
      <c r="I41" s="22">
        <f t="shared" si="11"/>
        <v>0.11583517089305402</v>
      </c>
      <c r="J41" s="23" t="s">
        <v>19</v>
      </c>
      <c r="K41" s="24">
        <f t="shared" si="10"/>
        <v>-341.11992184686221</v>
      </c>
      <c r="N41" s="33"/>
      <c r="O41" s="33"/>
    </row>
    <row r="42" spans="1:15" ht="16.5" x14ac:dyDescent="0.35">
      <c r="A42" t="s">
        <v>11</v>
      </c>
      <c r="B42" s="21">
        <f t="shared" si="8"/>
        <v>0.21595230753417619</v>
      </c>
      <c r="C42" s="22">
        <f t="shared" si="8"/>
        <v>0.18464351005484461</v>
      </c>
      <c r="D42" s="23" t="s">
        <v>19</v>
      </c>
      <c r="E42" s="24">
        <f t="shared" si="9"/>
        <v>313.08797479331577</v>
      </c>
      <c r="G42" t="s">
        <v>11</v>
      </c>
      <c r="H42" s="21">
        <f t="shared" si="11"/>
        <v>2.4958361908494171E-2</v>
      </c>
      <c r="I42" s="22">
        <f t="shared" si="11"/>
        <v>2.2268242173224512E-2</v>
      </c>
      <c r="J42" s="23" t="s">
        <v>19</v>
      </c>
      <c r="K42" s="24">
        <f t="shared" si="10"/>
        <v>26.901197352696588</v>
      </c>
      <c r="N42" s="34"/>
      <c r="O42" s="34"/>
    </row>
    <row r="43" spans="1:15" x14ac:dyDescent="0.35">
      <c r="A43" t="s">
        <v>12</v>
      </c>
      <c r="B43" s="21">
        <f t="shared" si="8"/>
        <v>0.30174258636502599</v>
      </c>
      <c r="C43" s="22">
        <f t="shared" si="8"/>
        <v>0.27145421903052064</v>
      </c>
      <c r="D43" s="23" t="s">
        <v>19</v>
      </c>
      <c r="E43" s="24">
        <f t="shared" si="9"/>
        <v>302.88367334505352</v>
      </c>
      <c r="G43" t="s">
        <v>12</v>
      </c>
      <c r="H43" s="21">
        <f t="shared" si="11"/>
        <v>0.26403425309229306</v>
      </c>
      <c r="I43" s="22">
        <f t="shared" si="11"/>
        <v>0.24919387343812979</v>
      </c>
      <c r="J43" s="23" t="s">
        <v>19</v>
      </c>
      <c r="K43" s="24">
        <f t="shared" si="10"/>
        <v>148.40379654163266</v>
      </c>
      <c r="O43" s="33"/>
    </row>
    <row r="44" spans="1:15" x14ac:dyDescent="0.35">
      <c r="A44" t="s">
        <v>13</v>
      </c>
      <c r="B44" s="21">
        <f t="shared" si="8"/>
        <v>4.1284403669724773E-2</v>
      </c>
      <c r="C44" s="22">
        <f t="shared" si="8"/>
        <v>0.10903083700440529</v>
      </c>
      <c r="D44" s="23" t="s">
        <v>19</v>
      </c>
      <c r="E44" s="24">
        <f t="shared" si="9"/>
        <v>-677.46433334680512</v>
      </c>
      <c r="G44" t="s">
        <v>13</v>
      </c>
      <c r="H44" s="21">
        <f t="shared" si="11"/>
        <v>0.1578740157480315</v>
      </c>
      <c r="I44" s="22">
        <f t="shared" si="11"/>
        <v>0.15547703180212014</v>
      </c>
      <c r="J44" s="23" t="s">
        <v>19</v>
      </c>
      <c r="K44" s="24">
        <f t="shared" si="10"/>
        <v>23.969839459113686</v>
      </c>
      <c r="O44" s="34"/>
    </row>
    <row r="45" spans="1:15" x14ac:dyDescent="0.35">
      <c r="A45" s="14" t="s">
        <v>14</v>
      </c>
      <c r="B45" s="25">
        <f t="shared" si="8"/>
        <v>0.18457722331655357</v>
      </c>
      <c r="C45" s="17">
        <f t="shared" si="8"/>
        <v>0.17028934368383911</v>
      </c>
      <c r="D45" s="26" t="s">
        <v>19</v>
      </c>
      <c r="E45" s="27">
        <f t="shared" si="9"/>
        <v>142.87879632714467</v>
      </c>
      <c r="G45" s="14" t="s">
        <v>14</v>
      </c>
      <c r="H45" s="25">
        <f t="shared" si="11"/>
        <v>3.8907055367732646E-2</v>
      </c>
      <c r="I45" s="17">
        <f t="shared" si="11"/>
        <v>4.6708785571575137E-2</v>
      </c>
      <c r="J45" s="26" t="s">
        <v>19</v>
      </c>
      <c r="K45" s="27">
        <f t="shared" si="10"/>
        <v>-78.017302038424916</v>
      </c>
      <c r="N45" s="33"/>
      <c r="O45" s="33"/>
    </row>
    <row r="46" spans="1:15" x14ac:dyDescent="0.35">
      <c r="N46" s="33"/>
      <c r="O46" s="33"/>
    </row>
    <row r="47" spans="1:15" x14ac:dyDescent="0.35">
      <c r="A47" s="14" t="s">
        <v>0</v>
      </c>
      <c r="B47" s="28">
        <f>IFERROR(B33/B19,0)</f>
        <v>0.11811023622047245</v>
      </c>
      <c r="C47" s="29">
        <f>IFERROR(C33/C19,0)</f>
        <v>6.4128256513026061E-2</v>
      </c>
      <c r="D47" s="26" t="s">
        <v>19</v>
      </c>
      <c r="E47" s="27">
        <f>IFERROR((B47-C47)*10000,0)</f>
        <v>539.81979707446396</v>
      </c>
      <c r="G47" s="14" t="s">
        <v>0</v>
      </c>
      <c r="H47" s="28">
        <f>IFERROR(H33/H19,0)</f>
        <v>0.10273790536948432</v>
      </c>
      <c r="I47" s="29">
        <f>IFERROR(I33/I19,0)</f>
        <v>6.7265634235725263E-2</v>
      </c>
      <c r="J47" s="26" t="s">
        <v>19</v>
      </c>
      <c r="K47" s="27">
        <f>IFERROR((H47-I47)*10000,0)</f>
        <v>354.72271133759057</v>
      </c>
      <c r="N47" s="33"/>
      <c r="O47" s="33"/>
    </row>
    <row r="48" spans="1:15" x14ac:dyDescent="0.35">
      <c r="N48" s="33"/>
      <c r="O48" s="33"/>
    </row>
    <row r="49" spans="1:15" ht="16.5" x14ac:dyDescent="0.35">
      <c r="A49" s="6" t="s">
        <v>20</v>
      </c>
      <c r="N49" s="33"/>
      <c r="O49" s="33"/>
    </row>
    <row r="50" spans="1:15" x14ac:dyDescent="0.35">
      <c r="N50" s="34"/>
      <c r="O50" s="34"/>
    </row>
    <row r="51" spans="1:15" x14ac:dyDescent="0.35">
      <c r="A51" s="30" t="s">
        <v>21</v>
      </c>
      <c r="B51" s="30"/>
      <c r="C51" s="30"/>
      <c r="D51" s="30"/>
      <c r="E51" s="30"/>
      <c r="F51" s="30"/>
      <c r="G51" s="5"/>
      <c r="H51" s="5"/>
      <c r="I51" s="5"/>
      <c r="J51" s="5"/>
      <c r="K51" s="5"/>
      <c r="O51" s="33"/>
    </row>
    <row r="52" spans="1:15" x14ac:dyDescent="0.35">
      <c r="B52" s="31"/>
      <c r="C52" s="31"/>
      <c r="D52" s="31"/>
      <c r="E52" s="31"/>
      <c r="O52" s="34"/>
    </row>
    <row r="53" spans="1:15" x14ac:dyDescent="0.35">
      <c r="N53" s="33"/>
      <c r="O53" s="33"/>
    </row>
    <row r="54" spans="1:15" x14ac:dyDescent="0.35">
      <c r="N54" s="33"/>
      <c r="O54" s="33"/>
    </row>
    <row r="55" spans="1:15" x14ac:dyDescent="0.35">
      <c r="N55" s="33"/>
      <c r="O55" s="33"/>
    </row>
    <row r="56" spans="1:15" x14ac:dyDescent="0.35">
      <c r="N56" s="33"/>
      <c r="O56" s="33"/>
    </row>
    <row r="57" spans="1:15" x14ac:dyDescent="0.35">
      <c r="N57" s="33"/>
      <c r="O57" s="33"/>
    </row>
    <row r="58" spans="1:15" x14ac:dyDescent="0.35">
      <c r="N58" s="34"/>
      <c r="O58" s="34"/>
    </row>
    <row r="59" spans="1:15" x14ac:dyDescent="0.35">
      <c r="O59" s="33"/>
    </row>
    <row r="60" spans="1:15" x14ac:dyDescent="0.35">
      <c r="O60" s="34"/>
    </row>
    <row r="61" spans="1:15" x14ac:dyDescent="0.35">
      <c r="N61" s="33"/>
      <c r="O61" s="33"/>
    </row>
    <row r="62" spans="1:15" x14ac:dyDescent="0.35">
      <c r="N62" s="33"/>
      <c r="O62" s="33"/>
    </row>
    <row r="63" spans="1:15" x14ac:dyDescent="0.35">
      <c r="N63" s="33"/>
      <c r="O63" s="33"/>
    </row>
    <row r="64" spans="1:15" x14ac:dyDescent="0.35">
      <c r="N64" s="33"/>
      <c r="O64" s="33"/>
    </row>
    <row r="65" spans="14:15" x14ac:dyDescent="0.35">
      <c r="N65" s="33"/>
      <c r="O65" s="33"/>
    </row>
    <row r="66" spans="14:15" x14ac:dyDescent="0.35">
      <c r="N66" s="34"/>
      <c r="O66" s="34"/>
    </row>
    <row r="67" spans="14:15" x14ac:dyDescent="0.35">
      <c r="O67" s="33"/>
    </row>
    <row r="68" spans="14:15" x14ac:dyDescent="0.35">
      <c r="O68" s="33"/>
    </row>
    <row r="69" spans="14:15" x14ac:dyDescent="0.35">
      <c r="N69" s="33"/>
      <c r="O69" s="34"/>
    </row>
    <row r="70" spans="14:15" x14ac:dyDescent="0.35">
      <c r="N70" s="33"/>
    </row>
    <row r="71" spans="14:15" x14ac:dyDescent="0.35">
      <c r="N71" s="33"/>
    </row>
    <row r="72" spans="14:15" x14ac:dyDescent="0.35">
      <c r="N72" s="33"/>
      <c r="O72" s="33"/>
    </row>
    <row r="73" spans="14:15" x14ac:dyDescent="0.35">
      <c r="N73" s="33"/>
      <c r="O73" s="33"/>
    </row>
    <row r="74" spans="14:15" x14ac:dyDescent="0.35">
      <c r="N74" s="34"/>
      <c r="O74" s="33"/>
    </row>
    <row r="75" spans="14:15" x14ac:dyDescent="0.35">
      <c r="O75" s="33"/>
    </row>
    <row r="76" spans="14:15" x14ac:dyDescent="0.35">
      <c r="O76" s="33"/>
    </row>
    <row r="77" spans="14:15" x14ac:dyDescent="0.35">
      <c r="N77" s="33"/>
      <c r="O77" s="34"/>
    </row>
    <row r="78" spans="14:15" x14ac:dyDescent="0.35">
      <c r="N78" s="33"/>
    </row>
    <row r="79" spans="14:15" x14ac:dyDescent="0.35">
      <c r="N79" s="33"/>
    </row>
    <row r="80" spans="14:15" x14ac:dyDescent="0.35">
      <c r="N80" s="33"/>
      <c r="O80" s="33"/>
    </row>
    <row r="81" spans="14:15" x14ac:dyDescent="0.35">
      <c r="N81" s="33"/>
      <c r="O81" s="33"/>
    </row>
    <row r="82" spans="14:15" x14ac:dyDescent="0.35">
      <c r="N82" s="34"/>
      <c r="O82" s="33"/>
    </row>
    <row r="83" spans="14:15" x14ac:dyDescent="0.35">
      <c r="O83" s="33"/>
    </row>
    <row r="84" spans="14:15" x14ac:dyDescent="0.35">
      <c r="O84" s="33"/>
    </row>
    <row r="85" spans="14:15" x14ac:dyDescent="0.35">
      <c r="N85" s="33"/>
      <c r="O85" s="34"/>
    </row>
    <row r="86" spans="14:15" x14ac:dyDescent="0.35">
      <c r="N86" s="33"/>
    </row>
    <row r="87" spans="14:15" x14ac:dyDescent="0.35">
      <c r="N87" s="33"/>
    </row>
    <row r="88" spans="14:15" x14ac:dyDescent="0.35">
      <c r="N88" s="33"/>
      <c r="O88" s="33"/>
    </row>
    <row r="89" spans="14:15" x14ac:dyDescent="0.35">
      <c r="N89" s="33"/>
      <c r="O89" s="33"/>
    </row>
    <row r="90" spans="14:15" x14ac:dyDescent="0.35">
      <c r="N90" s="34"/>
      <c r="O90" s="33"/>
    </row>
    <row r="91" spans="14:15" x14ac:dyDescent="0.35">
      <c r="O91" s="33"/>
    </row>
    <row r="92" spans="14:15" x14ac:dyDescent="0.35">
      <c r="O92" s="33"/>
    </row>
    <row r="93" spans="14:15" x14ac:dyDescent="0.35">
      <c r="N93" s="33"/>
      <c r="O93" s="34"/>
    </row>
    <row r="94" spans="14:15" x14ac:dyDescent="0.35">
      <c r="N94" s="33"/>
    </row>
    <row r="95" spans="14:15" x14ac:dyDescent="0.35">
      <c r="N95" s="33"/>
    </row>
    <row r="96" spans="14:15" x14ac:dyDescent="0.35">
      <c r="N96" s="33"/>
      <c r="O96" s="33"/>
    </row>
    <row r="97" spans="14:15" x14ac:dyDescent="0.35">
      <c r="N97" s="33"/>
      <c r="O97" s="33"/>
    </row>
    <row r="98" spans="14:15" x14ac:dyDescent="0.35">
      <c r="N98" s="34"/>
      <c r="O98" s="33"/>
    </row>
    <row r="99" spans="14:15" x14ac:dyDescent="0.35">
      <c r="O99" s="33"/>
    </row>
    <row r="100" spans="14:15" x14ac:dyDescent="0.35">
      <c r="O100" s="33"/>
    </row>
    <row r="101" spans="14:15" x14ac:dyDescent="0.35">
      <c r="N101" s="33"/>
      <c r="O101" s="34"/>
    </row>
    <row r="102" spans="14:15" x14ac:dyDescent="0.35">
      <c r="N102" s="33"/>
    </row>
    <row r="103" spans="14:15" x14ac:dyDescent="0.35">
      <c r="N103" s="33"/>
    </row>
    <row r="104" spans="14:15" x14ac:dyDescent="0.35">
      <c r="N104" s="33"/>
      <c r="O104" s="33"/>
    </row>
    <row r="105" spans="14:15" x14ac:dyDescent="0.35">
      <c r="N105" s="33"/>
      <c r="O105" s="33"/>
    </row>
    <row r="106" spans="14:15" x14ac:dyDescent="0.35">
      <c r="N106" s="34"/>
      <c r="O106" s="33"/>
    </row>
    <row r="107" spans="14:15" x14ac:dyDescent="0.35">
      <c r="O107" s="33"/>
    </row>
    <row r="108" spans="14:15" x14ac:dyDescent="0.35">
      <c r="O108" s="33"/>
    </row>
    <row r="109" spans="14:15" x14ac:dyDescent="0.35">
      <c r="N109" s="33"/>
      <c r="O109" s="34"/>
    </row>
    <row r="110" spans="14:15" x14ac:dyDescent="0.35">
      <c r="N110" s="33"/>
    </row>
    <row r="111" spans="14:15" x14ac:dyDescent="0.35">
      <c r="N111" s="33"/>
    </row>
    <row r="112" spans="14:15" x14ac:dyDescent="0.35">
      <c r="N112" s="33"/>
      <c r="O112" s="33"/>
    </row>
    <row r="113" spans="14:15" x14ac:dyDescent="0.35">
      <c r="N113" s="33"/>
      <c r="O113" s="33"/>
    </row>
    <row r="114" spans="14:15" x14ac:dyDescent="0.35">
      <c r="N114" s="34"/>
      <c r="O114" s="33"/>
    </row>
    <row r="115" spans="14:15" x14ac:dyDescent="0.35">
      <c r="O115" s="33"/>
    </row>
    <row r="116" spans="14:15" x14ac:dyDescent="0.35">
      <c r="O116" s="33"/>
    </row>
    <row r="117" spans="14:15" x14ac:dyDescent="0.35">
      <c r="N117" s="33"/>
      <c r="O117" s="34"/>
    </row>
    <row r="118" spans="14:15" x14ac:dyDescent="0.35">
      <c r="N118" s="33"/>
    </row>
    <row r="119" spans="14:15" x14ac:dyDescent="0.35">
      <c r="N119" s="33"/>
    </row>
    <row r="120" spans="14:15" x14ac:dyDescent="0.35">
      <c r="N120" s="33"/>
      <c r="O120" s="33"/>
    </row>
    <row r="121" spans="14:15" x14ac:dyDescent="0.35">
      <c r="N121" s="33"/>
      <c r="O121" s="33"/>
    </row>
    <row r="122" spans="14:15" x14ac:dyDescent="0.35">
      <c r="N122" s="34"/>
      <c r="O122" s="33"/>
    </row>
    <row r="123" spans="14:15" x14ac:dyDescent="0.35">
      <c r="N123" s="33"/>
      <c r="O123" s="33"/>
    </row>
    <row r="124" spans="14:15" x14ac:dyDescent="0.35">
      <c r="N124" s="33"/>
      <c r="O124" s="33"/>
    </row>
    <row r="125" spans="14:15" x14ac:dyDescent="0.35">
      <c r="N125" s="33"/>
      <c r="O125" s="34"/>
    </row>
    <row r="126" spans="14:15" x14ac:dyDescent="0.35">
      <c r="N126" s="33"/>
    </row>
    <row r="127" spans="14:15" x14ac:dyDescent="0.35">
      <c r="N127" s="33"/>
    </row>
    <row r="128" spans="14:15" x14ac:dyDescent="0.35">
      <c r="N128" s="34"/>
      <c r="O128" s="33"/>
    </row>
    <row r="129" spans="14:15" x14ac:dyDescent="0.35">
      <c r="O129" s="33"/>
    </row>
    <row r="130" spans="14:15" x14ac:dyDescent="0.35">
      <c r="O130" s="33"/>
    </row>
    <row r="131" spans="14:15" x14ac:dyDescent="0.35">
      <c r="N131" s="33"/>
      <c r="O131" s="33"/>
    </row>
    <row r="132" spans="14:15" x14ac:dyDescent="0.35">
      <c r="N132" s="33"/>
      <c r="O132" s="33"/>
    </row>
    <row r="133" spans="14:15" x14ac:dyDescent="0.35">
      <c r="N133" s="33"/>
      <c r="O133" s="34"/>
    </row>
    <row r="134" spans="14:15" x14ac:dyDescent="0.35">
      <c r="N134" s="33"/>
    </row>
    <row r="135" spans="14:15" x14ac:dyDescent="0.35">
      <c r="N135" s="33"/>
    </row>
    <row r="136" spans="14:15" x14ac:dyDescent="0.35">
      <c r="N136" s="34"/>
      <c r="O136" s="33"/>
    </row>
    <row r="137" spans="14:15" x14ac:dyDescent="0.35">
      <c r="O137" s="33"/>
    </row>
    <row r="138" spans="14:15" x14ac:dyDescent="0.35">
      <c r="O138" s="33"/>
    </row>
    <row r="139" spans="14:15" x14ac:dyDescent="0.35">
      <c r="N139" s="33"/>
      <c r="O139" s="33"/>
    </row>
    <row r="140" spans="14:15" x14ac:dyDescent="0.35">
      <c r="N140" s="33"/>
      <c r="O140" s="33"/>
    </row>
    <row r="141" spans="14:15" x14ac:dyDescent="0.35">
      <c r="N141" s="33"/>
      <c r="O141" s="34"/>
    </row>
    <row r="142" spans="14:15" x14ac:dyDescent="0.35">
      <c r="N142" s="33"/>
    </row>
    <row r="143" spans="14:15" x14ac:dyDescent="0.35">
      <c r="N143" s="33"/>
    </row>
    <row r="144" spans="14:15" x14ac:dyDescent="0.35">
      <c r="N144" s="34"/>
      <c r="O144" s="33"/>
    </row>
    <row r="145" spans="14:15" x14ac:dyDescent="0.35">
      <c r="O145" s="33"/>
    </row>
    <row r="146" spans="14:15" x14ac:dyDescent="0.35">
      <c r="O146" s="33"/>
    </row>
    <row r="147" spans="14:15" x14ac:dyDescent="0.35">
      <c r="N147" s="33"/>
      <c r="O147" s="33"/>
    </row>
    <row r="148" spans="14:15" x14ac:dyDescent="0.35">
      <c r="N148" s="33"/>
      <c r="O148" s="33"/>
    </row>
    <row r="149" spans="14:15" x14ac:dyDescent="0.35">
      <c r="N149" s="33"/>
      <c r="O149" s="34"/>
    </row>
    <row r="150" spans="14:15" x14ac:dyDescent="0.35">
      <c r="N150" s="33"/>
    </row>
    <row r="151" spans="14:15" x14ac:dyDescent="0.35">
      <c r="N151" s="33"/>
    </row>
    <row r="152" spans="14:15" x14ac:dyDescent="0.35">
      <c r="N152" s="34"/>
      <c r="O152" s="33"/>
    </row>
    <row r="153" spans="14:15" x14ac:dyDescent="0.35">
      <c r="O153" s="33"/>
    </row>
    <row r="154" spans="14:15" x14ac:dyDescent="0.35">
      <c r="O154" s="33"/>
    </row>
    <row r="155" spans="14:15" x14ac:dyDescent="0.35">
      <c r="N155" s="33"/>
      <c r="O155" s="33"/>
    </row>
    <row r="156" spans="14:15" x14ac:dyDescent="0.35">
      <c r="N156" s="33"/>
      <c r="O156" s="33"/>
    </row>
    <row r="157" spans="14:15" x14ac:dyDescent="0.35">
      <c r="N157" s="33"/>
      <c r="O157" s="34"/>
    </row>
    <row r="158" spans="14:15" x14ac:dyDescent="0.35">
      <c r="N158" s="33"/>
    </row>
    <row r="159" spans="14:15" x14ac:dyDescent="0.35">
      <c r="N159" s="33"/>
    </row>
    <row r="160" spans="14:15" x14ac:dyDescent="0.35">
      <c r="N160" s="34"/>
      <c r="O160" s="33"/>
    </row>
    <row r="161" spans="14:15" x14ac:dyDescent="0.35">
      <c r="O161" s="33"/>
    </row>
    <row r="162" spans="14:15" x14ac:dyDescent="0.35">
      <c r="O162" s="33"/>
    </row>
    <row r="163" spans="14:15" x14ac:dyDescent="0.35">
      <c r="N163" s="33"/>
      <c r="O163" s="33"/>
    </row>
    <row r="164" spans="14:15" x14ac:dyDescent="0.35">
      <c r="N164" s="33"/>
      <c r="O164" s="33"/>
    </row>
    <row r="165" spans="14:15" x14ac:dyDescent="0.35">
      <c r="N165" s="33"/>
      <c r="O165" s="34"/>
    </row>
    <row r="166" spans="14:15" x14ac:dyDescent="0.35">
      <c r="N166" s="33"/>
    </row>
    <row r="167" spans="14:15" x14ac:dyDescent="0.35">
      <c r="N167" s="33"/>
    </row>
    <row r="168" spans="14:15" x14ac:dyDescent="0.35">
      <c r="N168" s="34"/>
      <c r="O168" s="33"/>
    </row>
    <row r="169" spans="14:15" x14ac:dyDescent="0.35">
      <c r="O169" s="33"/>
    </row>
    <row r="170" spans="14:15" x14ac:dyDescent="0.35">
      <c r="O170" s="33"/>
    </row>
    <row r="171" spans="14:15" x14ac:dyDescent="0.35">
      <c r="N171" s="33"/>
      <c r="O171" s="33"/>
    </row>
    <row r="172" spans="14:15" x14ac:dyDescent="0.35">
      <c r="N172" s="33"/>
      <c r="O172" s="33"/>
    </row>
    <row r="173" spans="14:15" x14ac:dyDescent="0.35">
      <c r="N173" s="33"/>
      <c r="O173" s="34"/>
    </row>
    <row r="174" spans="14:15" x14ac:dyDescent="0.35">
      <c r="N174" s="33"/>
    </row>
    <row r="175" spans="14:15" x14ac:dyDescent="0.35">
      <c r="N175" s="33"/>
    </row>
    <row r="176" spans="14:15" x14ac:dyDescent="0.35">
      <c r="N176" s="34"/>
      <c r="O176" s="33"/>
    </row>
    <row r="177" spans="14:15" x14ac:dyDescent="0.35">
      <c r="O177" s="33"/>
    </row>
    <row r="178" spans="14:15" x14ac:dyDescent="0.35">
      <c r="O178" s="33"/>
    </row>
    <row r="179" spans="14:15" x14ac:dyDescent="0.35">
      <c r="N179" s="33"/>
      <c r="O179" s="33"/>
    </row>
    <row r="180" spans="14:15" x14ac:dyDescent="0.35">
      <c r="N180" s="33"/>
      <c r="O180" s="33"/>
    </row>
    <row r="181" spans="14:15" x14ac:dyDescent="0.35">
      <c r="N181" s="33"/>
      <c r="O181" s="34"/>
    </row>
    <row r="182" spans="14:15" x14ac:dyDescent="0.35">
      <c r="N182" s="33"/>
    </row>
    <row r="183" spans="14:15" x14ac:dyDescent="0.35">
      <c r="N183" s="33"/>
    </row>
    <row r="184" spans="14:15" x14ac:dyDescent="0.35">
      <c r="N184" s="34"/>
      <c r="O184" s="33"/>
    </row>
    <row r="185" spans="14:15" x14ac:dyDescent="0.35">
      <c r="O185" s="33"/>
    </row>
    <row r="186" spans="14:15" x14ac:dyDescent="0.35">
      <c r="O186" s="33"/>
    </row>
    <row r="187" spans="14:15" x14ac:dyDescent="0.35">
      <c r="N187" s="33"/>
      <c r="O187" s="33"/>
    </row>
    <row r="188" spans="14:15" x14ac:dyDescent="0.35">
      <c r="N188" s="33"/>
      <c r="O188" s="33"/>
    </row>
    <row r="189" spans="14:15" x14ac:dyDescent="0.35">
      <c r="N189" s="33"/>
      <c r="O189" s="34"/>
    </row>
    <row r="190" spans="14:15" x14ac:dyDescent="0.35">
      <c r="N190" s="33"/>
      <c r="O190" s="33"/>
    </row>
    <row r="191" spans="14:15" x14ac:dyDescent="0.35">
      <c r="N191" s="33"/>
      <c r="O191" s="33"/>
    </row>
    <row r="192" spans="14:15" x14ac:dyDescent="0.35">
      <c r="N192" s="34"/>
      <c r="O192" s="33"/>
    </row>
    <row r="193" spans="14:15" x14ac:dyDescent="0.35">
      <c r="O193" s="33"/>
    </row>
    <row r="194" spans="14:15" x14ac:dyDescent="0.35">
      <c r="O194" s="33"/>
    </row>
    <row r="195" spans="14:15" x14ac:dyDescent="0.35">
      <c r="N195" s="33"/>
      <c r="O195" s="33"/>
    </row>
    <row r="196" spans="14:15" x14ac:dyDescent="0.35">
      <c r="N196" s="33"/>
      <c r="O196" s="33"/>
    </row>
    <row r="197" spans="14:15" x14ac:dyDescent="0.35">
      <c r="N197" s="33"/>
      <c r="O197" s="34"/>
    </row>
    <row r="198" spans="14:15" x14ac:dyDescent="0.35">
      <c r="N198" s="33"/>
      <c r="O198" s="33"/>
    </row>
    <row r="199" spans="14:15" x14ac:dyDescent="0.35">
      <c r="N199" s="33"/>
      <c r="O199" s="33"/>
    </row>
    <row r="200" spans="14:15" x14ac:dyDescent="0.35">
      <c r="N200" s="34"/>
      <c r="O200" s="33"/>
    </row>
    <row r="201" spans="14:15" x14ac:dyDescent="0.35">
      <c r="O201" s="33"/>
    </row>
    <row r="202" spans="14:15" x14ac:dyDescent="0.35">
      <c r="O202" s="33"/>
    </row>
    <row r="203" spans="14:15" x14ac:dyDescent="0.35">
      <c r="N203" s="33"/>
      <c r="O203" s="33"/>
    </row>
    <row r="204" spans="14:15" x14ac:dyDescent="0.35">
      <c r="O204" s="33"/>
    </row>
    <row r="205" spans="14:15" x14ac:dyDescent="0.35">
      <c r="O205" s="34"/>
    </row>
    <row r="206" spans="14:15" x14ac:dyDescent="0.35">
      <c r="N206" s="33"/>
      <c r="O206" s="33"/>
    </row>
    <row r="207" spans="14:15" x14ac:dyDescent="0.35">
      <c r="N207" s="33"/>
      <c r="O207" s="33"/>
    </row>
    <row r="208" spans="14:15" x14ac:dyDescent="0.35">
      <c r="N208" s="33"/>
      <c r="O208" s="33"/>
    </row>
    <row r="209" spans="14:15" x14ac:dyDescent="0.35">
      <c r="N209" s="33"/>
      <c r="O209" s="33"/>
    </row>
    <row r="210" spans="14:15" x14ac:dyDescent="0.35">
      <c r="N210" s="33"/>
      <c r="O210" s="33"/>
    </row>
    <row r="211" spans="14:15" x14ac:dyDescent="0.35">
      <c r="N211" s="34"/>
      <c r="O211" s="33"/>
    </row>
    <row r="212" spans="14:15" x14ac:dyDescent="0.35">
      <c r="O212" s="33"/>
    </row>
    <row r="213" spans="14:15" x14ac:dyDescent="0.35">
      <c r="O213" s="34"/>
    </row>
    <row r="214" spans="14:15" x14ac:dyDescent="0.35">
      <c r="N214" s="33"/>
      <c r="O214" s="33"/>
    </row>
    <row r="215" spans="14:15" x14ac:dyDescent="0.35">
      <c r="N215" s="33"/>
      <c r="O215" s="33"/>
    </row>
    <row r="216" spans="14:15" x14ac:dyDescent="0.35">
      <c r="N216" s="33"/>
      <c r="O216" s="33"/>
    </row>
    <row r="217" spans="14:15" x14ac:dyDescent="0.35">
      <c r="N217" s="33"/>
      <c r="O217" s="33"/>
    </row>
    <row r="218" spans="14:15" x14ac:dyDescent="0.35">
      <c r="N218" s="33"/>
      <c r="O218" s="33"/>
    </row>
    <row r="219" spans="14:15" x14ac:dyDescent="0.35">
      <c r="N219" s="34"/>
      <c r="O219" s="33"/>
    </row>
    <row r="220" spans="14:15" x14ac:dyDescent="0.35">
      <c r="O220" s="33"/>
    </row>
    <row r="221" spans="14:15" x14ac:dyDescent="0.35">
      <c r="O221" s="34"/>
    </row>
    <row r="222" spans="14:15" x14ac:dyDescent="0.35">
      <c r="N222" s="33"/>
      <c r="O222" s="33"/>
    </row>
    <row r="223" spans="14:15" x14ac:dyDescent="0.35">
      <c r="N223" s="33"/>
      <c r="O223" s="33"/>
    </row>
    <row r="224" spans="14:15" x14ac:dyDescent="0.35">
      <c r="N224" s="33"/>
      <c r="O224" s="33"/>
    </row>
    <row r="225" spans="14:15" x14ac:dyDescent="0.35">
      <c r="N225" s="33"/>
      <c r="O225" s="33"/>
    </row>
    <row r="226" spans="14:15" x14ac:dyDescent="0.35">
      <c r="N226" s="33"/>
      <c r="O226" s="33"/>
    </row>
    <row r="227" spans="14:15" x14ac:dyDescent="0.35">
      <c r="N227" s="34"/>
      <c r="O227" s="33"/>
    </row>
    <row r="228" spans="14:15" x14ac:dyDescent="0.35">
      <c r="O228" s="33"/>
    </row>
    <row r="229" spans="14:15" x14ac:dyDescent="0.35">
      <c r="O229" s="34"/>
    </row>
    <row r="230" spans="14:15" x14ac:dyDescent="0.35">
      <c r="N230" s="33"/>
      <c r="O230" s="33"/>
    </row>
    <row r="231" spans="14:15" x14ac:dyDescent="0.35">
      <c r="N231" s="33"/>
      <c r="O231" s="33"/>
    </row>
    <row r="232" spans="14:15" x14ac:dyDescent="0.35">
      <c r="N232" s="33"/>
      <c r="O232" s="33"/>
    </row>
    <row r="233" spans="14:15" x14ac:dyDescent="0.35">
      <c r="N233" s="33"/>
      <c r="O233" s="33"/>
    </row>
    <row r="234" spans="14:15" x14ac:dyDescent="0.35">
      <c r="N234" s="33"/>
      <c r="O234" s="33"/>
    </row>
    <row r="235" spans="14:15" x14ac:dyDescent="0.35">
      <c r="N235" s="34"/>
      <c r="O235" s="33"/>
    </row>
    <row r="236" spans="14:15" x14ac:dyDescent="0.35">
      <c r="O236" s="33"/>
    </row>
    <row r="237" spans="14:15" x14ac:dyDescent="0.35">
      <c r="O237" s="34"/>
    </row>
    <row r="238" spans="14:15" x14ac:dyDescent="0.35">
      <c r="N238" s="33"/>
      <c r="O238" s="33"/>
    </row>
    <row r="239" spans="14:15" x14ac:dyDescent="0.35">
      <c r="N239" s="33"/>
      <c r="O239" s="33"/>
    </row>
    <row r="240" spans="14:15" x14ac:dyDescent="0.35">
      <c r="N240" s="33"/>
      <c r="O240" s="33"/>
    </row>
    <row r="241" spans="14:15" x14ac:dyDescent="0.35">
      <c r="N241" s="33"/>
      <c r="O241" s="33"/>
    </row>
    <row r="242" spans="14:15" x14ac:dyDescent="0.35">
      <c r="N242" s="33"/>
      <c r="O242" s="33"/>
    </row>
    <row r="243" spans="14:15" x14ac:dyDescent="0.35">
      <c r="N243" s="34"/>
      <c r="O243" s="33"/>
    </row>
    <row r="244" spans="14:15" x14ac:dyDescent="0.35">
      <c r="O244" s="33"/>
    </row>
    <row r="245" spans="14:15" x14ac:dyDescent="0.35">
      <c r="O245" s="34"/>
    </row>
    <row r="246" spans="14:15" x14ac:dyDescent="0.35">
      <c r="N246" s="33"/>
      <c r="O246" s="33"/>
    </row>
    <row r="247" spans="14:15" x14ac:dyDescent="0.35">
      <c r="N247" s="33"/>
      <c r="O247" s="33"/>
    </row>
    <row r="248" spans="14:15" x14ac:dyDescent="0.35">
      <c r="N248" s="33"/>
      <c r="O248" s="33"/>
    </row>
    <row r="249" spans="14:15" x14ac:dyDescent="0.35">
      <c r="N249" s="33"/>
      <c r="O249" s="33"/>
    </row>
    <row r="250" spans="14:15" x14ac:dyDescent="0.35">
      <c r="N250" s="33"/>
      <c r="O250" s="33"/>
    </row>
    <row r="251" spans="14:15" x14ac:dyDescent="0.35">
      <c r="N251" s="34"/>
      <c r="O251" s="33"/>
    </row>
    <row r="252" spans="14:15" x14ac:dyDescent="0.35">
      <c r="O252" s="33"/>
    </row>
    <row r="253" spans="14:15" x14ac:dyDescent="0.35">
      <c r="O253" s="34"/>
    </row>
    <row r="254" spans="14:15" x14ac:dyDescent="0.35">
      <c r="N254" s="33"/>
      <c r="O254" s="33"/>
    </row>
    <row r="255" spans="14:15" x14ac:dyDescent="0.35">
      <c r="N255" s="33"/>
      <c r="O255" s="33"/>
    </row>
    <row r="256" spans="14:15" x14ac:dyDescent="0.35">
      <c r="N256" s="33"/>
      <c r="O256" s="33"/>
    </row>
    <row r="257" spans="14:15" x14ac:dyDescent="0.35">
      <c r="N257" s="33"/>
      <c r="O257" s="33"/>
    </row>
    <row r="258" spans="14:15" x14ac:dyDescent="0.35">
      <c r="N258" s="33"/>
      <c r="O258" s="33"/>
    </row>
    <row r="259" spans="14:15" x14ac:dyDescent="0.35">
      <c r="N259" s="34"/>
      <c r="O259" s="33"/>
    </row>
    <row r="260" spans="14:15" x14ac:dyDescent="0.35">
      <c r="O260" s="33"/>
    </row>
    <row r="261" spans="14:15" x14ac:dyDescent="0.35">
      <c r="O261" s="34"/>
    </row>
    <row r="262" spans="14:15" x14ac:dyDescent="0.35">
      <c r="N262" s="33"/>
      <c r="O262" s="33"/>
    </row>
    <row r="263" spans="14:15" x14ac:dyDescent="0.35">
      <c r="N263" s="33"/>
      <c r="O263" s="33"/>
    </row>
    <row r="264" spans="14:15" x14ac:dyDescent="0.35">
      <c r="N264" s="33"/>
      <c r="O264" s="33"/>
    </row>
    <row r="265" spans="14:15" x14ac:dyDescent="0.35">
      <c r="N265" s="33"/>
      <c r="O265" s="33"/>
    </row>
    <row r="266" spans="14:15" x14ac:dyDescent="0.35">
      <c r="N266" s="33"/>
      <c r="O266" s="33"/>
    </row>
    <row r="267" spans="14:15" x14ac:dyDescent="0.35">
      <c r="N267" s="34"/>
      <c r="O267" s="33"/>
    </row>
    <row r="268" spans="14:15" x14ac:dyDescent="0.35">
      <c r="O268" s="33"/>
    </row>
    <row r="269" spans="14:15" x14ac:dyDescent="0.35">
      <c r="O269" s="34"/>
    </row>
    <row r="270" spans="14:15" x14ac:dyDescent="0.35">
      <c r="N270" s="33"/>
      <c r="O270" s="33"/>
    </row>
    <row r="271" spans="14:15" x14ac:dyDescent="0.35">
      <c r="N271" s="33"/>
      <c r="O271" s="33"/>
    </row>
    <row r="272" spans="14:15" x14ac:dyDescent="0.35">
      <c r="N272" s="33"/>
      <c r="O272" s="33"/>
    </row>
    <row r="273" spans="14:15" x14ac:dyDescent="0.35">
      <c r="N273" s="33"/>
      <c r="O273" s="33"/>
    </row>
    <row r="274" spans="14:15" x14ac:dyDescent="0.35">
      <c r="N274" s="33"/>
      <c r="O274" s="33"/>
    </row>
    <row r="275" spans="14:15" x14ac:dyDescent="0.35">
      <c r="N275" s="34"/>
      <c r="O275" s="33"/>
    </row>
    <row r="276" spans="14:15" x14ac:dyDescent="0.35">
      <c r="O276" s="33"/>
    </row>
    <row r="277" spans="14:15" x14ac:dyDescent="0.35">
      <c r="O277" s="34"/>
    </row>
    <row r="278" spans="14:15" x14ac:dyDescent="0.35">
      <c r="N278" s="33"/>
      <c r="O278" s="33"/>
    </row>
    <row r="279" spans="14:15" x14ac:dyDescent="0.35">
      <c r="N279" s="33"/>
      <c r="O279" s="33"/>
    </row>
    <row r="280" spans="14:15" x14ac:dyDescent="0.35">
      <c r="N280" s="33"/>
      <c r="O280" s="33"/>
    </row>
    <row r="281" spans="14:15" x14ac:dyDescent="0.35">
      <c r="N281" s="33"/>
      <c r="O281" s="33"/>
    </row>
    <row r="282" spans="14:15" x14ac:dyDescent="0.35">
      <c r="N282" s="33"/>
      <c r="O282" s="33"/>
    </row>
    <row r="283" spans="14:15" x14ac:dyDescent="0.35">
      <c r="N283" s="34"/>
      <c r="O283" s="33"/>
    </row>
    <row r="284" spans="14:15" x14ac:dyDescent="0.35">
      <c r="O284" s="33"/>
    </row>
    <row r="285" spans="14:15" x14ac:dyDescent="0.35">
      <c r="O285" s="34"/>
    </row>
    <row r="286" spans="14:15" x14ac:dyDescent="0.35">
      <c r="N286" s="33"/>
      <c r="O286" s="33"/>
    </row>
    <row r="287" spans="14:15" x14ac:dyDescent="0.35">
      <c r="N287" s="33"/>
      <c r="O287" s="33"/>
    </row>
    <row r="288" spans="14:15" x14ac:dyDescent="0.35">
      <c r="N288" s="33"/>
      <c r="O288" s="33"/>
    </row>
    <row r="289" spans="14:15" x14ac:dyDescent="0.35">
      <c r="N289" s="33"/>
      <c r="O289" s="33"/>
    </row>
    <row r="290" spans="14:15" x14ac:dyDescent="0.35">
      <c r="N290" s="33"/>
      <c r="O290" s="33"/>
    </row>
    <row r="291" spans="14:15" x14ac:dyDescent="0.35">
      <c r="N291" s="34"/>
      <c r="O291" s="33"/>
    </row>
    <row r="292" spans="14:15" x14ac:dyDescent="0.35">
      <c r="O292" s="33"/>
    </row>
    <row r="293" spans="14:15" x14ac:dyDescent="0.35">
      <c r="O293" s="34"/>
    </row>
    <row r="294" spans="14:15" x14ac:dyDescent="0.35">
      <c r="N294" s="33"/>
      <c r="O294" s="33"/>
    </row>
    <row r="295" spans="14:15" x14ac:dyDescent="0.35">
      <c r="N295" s="33"/>
      <c r="O295" s="33"/>
    </row>
    <row r="296" spans="14:15" x14ac:dyDescent="0.35">
      <c r="N296" s="33"/>
      <c r="O296" s="33"/>
    </row>
    <row r="297" spans="14:15" x14ac:dyDescent="0.35">
      <c r="N297" s="33"/>
      <c r="O297" s="33"/>
    </row>
    <row r="298" spans="14:15" x14ac:dyDescent="0.35">
      <c r="N298" s="33"/>
      <c r="O298" s="33"/>
    </row>
    <row r="299" spans="14:15" x14ac:dyDescent="0.35">
      <c r="N299" s="34"/>
      <c r="O299" s="33"/>
    </row>
    <row r="300" spans="14:15" x14ac:dyDescent="0.35">
      <c r="O300" s="33"/>
    </row>
    <row r="301" spans="14:15" x14ac:dyDescent="0.35">
      <c r="O301" s="34"/>
    </row>
    <row r="302" spans="14:15" x14ac:dyDescent="0.35">
      <c r="N302" s="33"/>
      <c r="O302" s="33"/>
    </row>
    <row r="303" spans="14:15" x14ac:dyDescent="0.35">
      <c r="N303" s="33"/>
      <c r="O303" s="33"/>
    </row>
    <row r="304" spans="14:15" x14ac:dyDescent="0.35">
      <c r="N304" s="33"/>
      <c r="O304" s="33"/>
    </row>
    <row r="305" spans="14:15" x14ac:dyDescent="0.35">
      <c r="N305" s="33"/>
      <c r="O305" s="33"/>
    </row>
    <row r="306" spans="14:15" x14ac:dyDescent="0.35">
      <c r="N306" s="33"/>
      <c r="O306" s="33"/>
    </row>
    <row r="307" spans="14:15" x14ac:dyDescent="0.35">
      <c r="N307" s="34"/>
      <c r="O307" s="33"/>
    </row>
    <row r="308" spans="14:15" x14ac:dyDescent="0.35">
      <c r="O308" s="33"/>
    </row>
    <row r="309" spans="14:15" x14ac:dyDescent="0.35">
      <c r="O309" s="34"/>
    </row>
    <row r="310" spans="14:15" x14ac:dyDescent="0.35">
      <c r="N310" s="33"/>
      <c r="O310" s="33"/>
    </row>
    <row r="311" spans="14:15" x14ac:dyDescent="0.35">
      <c r="N311" s="33"/>
      <c r="O311" s="33"/>
    </row>
    <row r="312" spans="14:15" x14ac:dyDescent="0.35">
      <c r="N312" s="33"/>
      <c r="O312" s="33"/>
    </row>
    <row r="313" spans="14:15" x14ac:dyDescent="0.35">
      <c r="N313" s="33"/>
      <c r="O313" s="33"/>
    </row>
    <row r="314" spans="14:15" x14ac:dyDescent="0.35">
      <c r="N314" s="33"/>
      <c r="O314" s="33"/>
    </row>
    <row r="315" spans="14:15" x14ac:dyDescent="0.35">
      <c r="N315" s="34"/>
      <c r="O315" s="33"/>
    </row>
    <row r="316" spans="14:15" x14ac:dyDescent="0.35">
      <c r="O316" s="33"/>
    </row>
    <row r="317" spans="14:15" x14ac:dyDescent="0.35">
      <c r="O317" s="34"/>
    </row>
    <row r="318" spans="14:15" x14ac:dyDescent="0.35">
      <c r="O318" s="33"/>
    </row>
    <row r="319" spans="14:15" x14ac:dyDescent="0.35">
      <c r="O319" s="33"/>
    </row>
    <row r="320" spans="14:15" x14ac:dyDescent="0.35">
      <c r="O320" s="33"/>
    </row>
    <row r="321" spans="15:15" x14ac:dyDescent="0.35">
      <c r="O321" s="33"/>
    </row>
    <row r="322" spans="15:15" x14ac:dyDescent="0.35">
      <c r="O322" s="33"/>
    </row>
    <row r="323" spans="15:15" x14ac:dyDescent="0.35">
      <c r="O323" s="33"/>
    </row>
    <row r="324" spans="15:15" x14ac:dyDescent="0.35">
      <c r="O324" s="33"/>
    </row>
    <row r="325" spans="15:15" x14ac:dyDescent="0.35">
      <c r="O325" s="34"/>
    </row>
    <row r="326" spans="15:15" x14ac:dyDescent="0.35">
      <c r="O326" s="33"/>
    </row>
    <row r="327" spans="15:15" x14ac:dyDescent="0.35">
      <c r="O327" s="33"/>
    </row>
    <row r="328" spans="15:15" x14ac:dyDescent="0.35">
      <c r="O328" s="33"/>
    </row>
    <row r="329" spans="15:15" x14ac:dyDescent="0.35">
      <c r="O329" s="33"/>
    </row>
    <row r="330" spans="15:15" x14ac:dyDescent="0.35">
      <c r="O330" s="33"/>
    </row>
    <row r="331" spans="15:15" x14ac:dyDescent="0.35">
      <c r="O331" s="33"/>
    </row>
    <row r="332" spans="15:15" x14ac:dyDescent="0.35">
      <c r="O332" s="33"/>
    </row>
    <row r="333" spans="15:15" x14ac:dyDescent="0.35">
      <c r="O333" s="34"/>
    </row>
    <row r="334" spans="15:15" x14ac:dyDescent="0.35">
      <c r="O334" s="33"/>
    </row>
    <row r="335" spans="15:15" x14ac:dyDescent="0.35">
      <c r="O335" s="33"/>
    </row>
    <row r="336" spans="15:15" x14ac:dyDescent="0.35">
      <c r="O336" s="33"/>
    </row>
    <row r="337" spans="15:15" x14ac:dyDescent="0.35">
      <c r="O337" s="33"/>
    </row>
    <row r="338" spans="15:15" x14ac:dyDescent="0.35">
      <c r="O338" s="33"/>
    </row>
    <row r="339" spans="15:15" x14ac:dyDescent="0.35">
      <c r="O339" s="33"/>
    </row>
    <row r="340" spans="15:15" x14ac:dyDescent="0.35">
      <c r="O340" s="33"/>
    </row>
    <row r="341" spans="15:15" x14ac:dyDescent="0.35">
      <c r="O341" s="34"/>
    </row>
    <row r="342" spans="15:15" x14ac:dyDescent="0.35">
      <c r="O342" s="33"/>
    </row>
    <row r="343" spans="15:15" x14ac:dyDescent="0.35">
      <c r="O343" s="33"/>
    </row>
    <row r="344" spans="15:15" x14ac:dyDescent="0.35">
      <c r="O344" s="33"/>
    </row>
    <row r="345" spans="15:15" x14ac:dyDescent="0.35">
      <c r="O345" s="33"/>
    </row>
    <row r="346" spans="15:15" x14ac:dyDescent="0.35">
      <c r="O346" s="33"/>
    </row>
    <row r="347" spans="15:15" x14ac:dyDescent="0.35">
      <c r="O347" s="33"/>
    </row>
    <row r="348" spans="15:15" x14ac:dyDescent="0.35">
      <c r="O348" s="33"/>
    </row>
    <row r="349" spans="15:15" x14ac:dyDescent="0.35">
      <c r="O349" s="34"/>
    </row>
    <row r="350" spans="15:15" x14ac:dyDescent="0.35">
      <c r="O350" s="33"/>
    </row>
    <row r="351" spans="15:15" x14ac:dyDescent="0.35">
      <c r="O351" s="33"/>
    </row>
    <row r="352" spans="15:15" x14ac:dyDescent="0.35">
      <c r="O352" s="33"/>
    </row>
    <row r="353" spans="15:15" x14ac:dyDescent="0.35">
      <c r="O353" s="33"/>
    </row>
    <row r="354" spans="15:15" x14ac:dyDescent="0.35">
      <c r="O354" s="33"/>
    </row>
    <row r="355" spans="15:15" x14ac:dyDescent="0.35">
      <c r="O355" s="33"/>
    </row>
    <row r="356" spans="15:15" x14ac:dyDescent="0.35">
      <c r="O356" s="33"/>
    </row>
    <row r="357" spans="15:15" x14ac:dyDescent="0.35">
      <c r="O357" s="34"/>
    </row>
    <row r="358" spans="15:15" x14ac:dyDescent="0.35">
      <c r="O358" s="33"/>
    </row>
    <row r="359" spans="15:15" x14ac:dyDescent="0.35">
      <c r="O359" s="33"/>
    </row>
    <row r="360" spans="15:15" x14ac:dyDescent="0.35">
      <c r="O360" s="33"/>
    </row>
    <row r="361" spans="15:15" x14ac:dyDescent="0.35">
      <c r="O361" s="33"/>
    </row>
    <row r="362" spans="15:15" x14ac:dyDescent="0.35">
      <c r="O362" s="33"/>
    </row>
    <row r="363" spans="15:15" x14ac:dyDescent="0.35">
      <c r="O363" s="33"/>
    </row>
    <row r="364" spans="15:15" x14ac:dyDescent="0.35">
      <c r="O364" s="33"/>
    </row>
    <row r="365" spans="15:15" x14ac:dyDescent="0.35">
      <c r="O365" s="34"/>
    </row>
    <row r="366" spans="15:15" x14ac:dyDescent="0.35">
      <c r="O366" s="33"/>
    </row>
    <row r="367" spans="15:15" x14ac:dyDescent="0.35">
      <c r="O367" s="33"/>
    </row>
    <row r="368" spans="15:15" x14ac:dyDescent="0.35">
      <c r="O368" s="33"/>
    </row>
    <row r="369" spans="15:15" x14ac:dyDescent="0.35">
      <c r="O369" s="33"/>
    </row>
    <row r="370" spans="15:15" x14ac:dyDescent="0.35">
      <c r="O370" s="33"/>
    </row>
    <row r="371" spans="15:15" x14ac:dyDescent="0.35">
      <c r="O371" s="33"/>
    </row>
    <row r="372" spans="15:15" x14ac:dyDescent="0.35">
      <c r="O372" s="33"/>
    </row>
    <row r="373" spans="15:15" x14ac:dyDescent="0.35">
      <c r="O373" s="34"/>
    </row>
    <row r="374" spans="15:15" x14ac:dyDescent="0.35">
      <c r="O374" s="33"/>
    </row>
    <row r="375" spans="15:15" x14ac:dyDescent="0.35">
      <c r="O375" s="33"/>
    </row>
    <row r="376" spans="15:15" x14ac:dyDescent="0.35">
      <c r="O376" s="33"/>
    </row>
    <row r="377" spans="15:15" x14ac:dyDescent="0.35">
      <c r="O377" s="33"/>
    </row>
    <row r="378" spans="15:15" x14ac:dyDescent="0.35">
      <c r="O378" s="33"/>
    </row>
    <row r="379" spans="15:15" x14ac:dyDescent="0.35">
      <c r="O379" s="33"/>
    </row>
    <row r="380" spans="15:15" x14ac:dyDescent="0.35">
      <c r="O380" s="33"/>
    </row>
    <row r="381" spans="15:15" x14ac:dyDescent="0.35">
      <c r="O381" s="34"/>
    </row>
    <row r="382" spans="15:15" x14ac:dyDescent="0.35">
      <c r="O382" s="33"/>
    </row>
    <row r="383" spans="15:15" x14ac:dyDescent="0.35">
      <c r="O383" s="33"/>
    </row>
    <row r="384" spans="15:15" x14ac:dyDescent="0.35">
      <c r="O384" s="33"/>
    </row>
    <row r="385" spans="15:15" x14ac:dyDescent="0.35">
      <c r="O385" s="33"/>
    </row>
    <row r="386" spans="15:15" x14ac:dyDescent="0.35">
      <c r="O386" s="33"/>
    </row>
    <row r="387" spans="15:15" x14ac:dyDescent="0.35">
      <c r="O387" s="33"/>
    </row>
    <row r="388" spans="15:15" x14ac:dyDescent="0.35">
      <c r="O388" s="33"/>
    </row>
    <row r="389" spans="15:15" x14ac:dyDescent="0.35">
      <c r="O389" s="34"/>
    </row>
    <row r="390" spans="15:15" x14ac:dyDescent="0.35">
      <c r="O390" s="33"/>
    </row>
    <row r="391" spans="15:15" x14ac:dyDescent="0.35">
      <c r="O391" s="33"/>
    </row>
    <row r="392" spans="15:15" x14ac:dyDescent="0.35">
      <c r="O392" s="33"/>
    </row>
    <row r="393" spans="15:15" x14ac:dyDescent="0.35">
      <c r="O393" s="33"/>
    </row>
    <row r="394" spans="15:15" x14ac:dyDescent="0.35">
      <c r="O394" s="33"/>
    </row>
    <row r="395" spans="15:15" x14ac:dyDescent="0.35">
      <c r="O395" s="33"/>
    </row>
    <row r="396" spans="15:15" x14ac:dyDescent="0.35">
      <c r="O396" s="33"/>
    </row>
    <row r="397" spans="15:15" x14ac:dyDescent="0.35">
      <c r="O397" s="34"/>
    </row>
    <row r="398" spans="15:15" x14ac:dyDescent="0.35">
      <c r="O398" s="33"/>
    </row>
    <row r="399" spans="15:15" x14ac:dyDescent="0.35">
      <c r="O399" s="33"/>
    </row>
    <row r="400" spans="15:15" x14ac:dyDescent="0.35">
      <c r="O400" s="33"/>
    </row>
    <row r="401" spans="15:15" x14ac:dyDescent="0.35">
      <c r="O401" s="33"/>
    </row>
    <row r="402" spans="15:15" x14ac:dyDescent="0.35">
      <c r="O402" s="33"/>
    </row>
    <row r="403" spans="15:15" x14ac:dyDescent="0.35">
      <c r="O403" s="33"/>
    </row>
    <row r="404" spans="15:15" x14ac:dyDescent="0.35">
      <c r="O404" s="33"/>
    </row>
    <row r="405" spans="15:15" x14ac:dyDescent="0.35">
      <c r="O405" s="34"/>
    </row>
    <row r="406" spans="15:15" x14ac:dyDescent="0.35">
      <c r="O406" s="33"/>
    </row>
    <row r="407" spans="15:15" x14ac:dyDescent="0.35">
      <c r="O407" s="33"/>
    </row>
    <row r="408" spans="15:15" x14ac:dyDescent="0.35">
      <c r="O408" s="33"/>
    </row>
    <row r="409" spans="15:15" x14ac:dyDescent="0.35">
      <c r="O409" s="33"/>
    </row>
    <row r="410" spans="15:15" x14ac:dyDescent="0.35">
      <c r="O410" s="33"/>
    </row>
    <row r="411" spans="15:15" x14ac:dyDescent="0.35">
      <c r="O411" s="33"/>
    </row>
    <row r="412" spans="15:15" x14ac:dyDescent="0.35">
      <c r="O412" s="33"/>
    </row>
    <row r="413" spans="15:15" x14ac:dyDescent="0.35">
      <c r="O413" s="34"/>
    </row>
    <row r="414" spans="15:15" x14ac:dyDescent="0.35">
      <c r="O414" s="33"/>
    </row>
    <row r="415" spans="15:15" x14ac:dyDescent="0.35">
      <c r="O415" s="33"/>
    </row>
    <row r="416" spans="15:15" x14ac:dyDescent="0.35">
      <c r="O416" s="33"/>
    </row>
    <row r="417" spans="15:15" x14ac:dyDescent="0.35">
      <c r="O417" s="33"/>
    </row>
    <row r="418" spans="15:15" x14ac:dyDescent="0.35">
      <c r="O418" s="33"/>
    </row>
    <row r="419" spans="15:15" x14ac:dyDescent="0.35">
      <c r="O419" s="33"/>
    </row>
    <row r="420" spans="15:15" x14ac:dyDescent="0.35">
      <c r="O420" s="33"/>
    </row>
    <row r="421" spans="15:15" x14ac:dyDescent="0.35">
      <c r="O421" s="34"/>
    </row>
    <row r="422" spans="15:15" x14ac:dyDescent="0.35">
      <c r="O422" s="33"/>
    </row>
    <row r="423" spans="15:15" x14ac:dyDescent="0.35">
      <c r="O423" s="33"/>
    </row>
    <row r="424" spans="15:15" x14ac:dyDescent="0.35">
      <c r="O424" s="33"/>
    </row>
    <row r="425" spans="15:15" x14ac:dyDescent="0.35">
      <c r="O425" s="33"/>
    </row>
    <row r="426" spans="15:15" x14ac:dyDescent="0.35">
      <c r="O426" s="33"/>
    </row>
    <row r="427" spans="15:15" x14ac:dyDescent="0.35">
      <c r="O427" s="34"/>
    </row>
    <row r="430" spans="15:15" x14ac:dyDescent="0.35">
      <c r="O430" s="33"/>
    </row>
    <row r="431" spans="15:15" x14ac:dyDescent="0.35">
      <c r="O431" s="33"/>
    </row>
    <row r="432" spans="15:15" x14ac:dyDescent="0.35">
      <c r="O432" s="33"/>
    </row>
    <row r="433" spans="15:15" x14ac:dyDescent="0.35">
      <c r="O433" s="33"/>
    </row>
    <row r="434" spans="15:15" x14ac:dyDescent="0.35">
      <c r="O434" s="33"/>
    </row>
    <row r="435" spans="15:15" x14ac:dyDescent="0.35">
      <c r="O435" s="34"/>
    </row>
    <row r="438" spans="15:15" x14ac:dyDescent="0.35">
      <c r="O438" s="33"/>
    </row>
    <row r="439" spans="15:15" x14ac:dyDescent="0.35">
      <c r="O439" s="33"/>
    </row>
    <row r="440" spans="15:15" x14ac:dyDescent="0.35">
      <c r="O440" s="33"/>
    </row>
    <row r="441" spans="15:15" x14ac:dyDescent="0.35">
      <c r="O441" s="33"/>
    </row>
    <row r="442" spans="15:15" x14ac:dyDescent="0.35">
      <c r="O442" s="33"/>
    </row>
    <row r="443" spans="15:15" x14ac:dyDescent="0.35">
      <c r="O443" s="34"/>
    </row>
    <row r="446" spans="15:15" x14ac:dyDescent="0.35">
      <c r="O446" s="33"/>
    </row>
    <row r="447" spans="15:15" x14ac:dyDescent="0.35">
      <c r="O447" s="33"/>
    </row>
    <row r="448" spans="15:15" x14ac:dyDescent="0.35">
      <c r="O448" s="33"/>
    </row>
    <row r="449" spans="15:15" x14ac:dyDescent="0.35">
      <c r="O449" s="33"/>
    </row>
    <row r="450" spans="15:15" x14ac:dyDescent="0.35">
      <c r="O450" s="33"/>
    </row>
    <row r="451" spans="15:15" x14ac:dyDescent="0.35">
      <c r="O451" s="34"/>
    </row>
    <row r="454" spans="15:15" x14ac:dyDescent="0.35">
      <c r="O454" s="33"/>
    </row>
    <row r="455" spans="15:15" x14ac:dyDescent="0.35">
      <c r="O455" s="33"/>
    </row>
    <row r="456" spans="15:15" x14ac:dyDescent="0.35">
      <c r="O456" s="33"/>
    </row>
    <row r="457" spans="15:15" x14ac:dyDescent="0.35">
      <c r="O457" s="33"/>
    </row>
    <row r="458" spans="15:15" x14ac:dyDescent="0.35">
      <c r="O458" s="33"/>
    </row>
    <row r="459" spans="15:15" x14ac:dyDescent="0.35">
      <c r="O459" s="34"/>
    </row>
    <row r="462" spans="15:15" x14ac:dyDescent="0.35">
      <c r="O462" s="33"/>
    </row>
    <row r="463" spans="15:15" x14ac:dyDescent="0.35">
      <c r="O463" s="33"/>
    </row>
    <row r="464" spans="15:15" x14ac:dyDescent="0.35">
      <c r="O464" s="33"/>
    </row>
    <row r="465" spans="15:15" x14ac:dyDescent="0.35">
      <c r="O465" s="33"/>
    </row>
    <row r="466" spans="15:15" x14ac:dyDescent="0.35">
      <c r="O466" s="33"/>
    </row>
    <row r="467" spans="15:15" x14ac:dyDescent="0.35">
      <c r="O467" s="34"/>
    </row>
    <row r="470" spans="15:15" x14ac:dyDescent="0.35">
      <c r="O470" s="33"/>
    </row>
    <row r="471" spans="15:15" x14ac:dyDescent="0.35">
      <c r="O471" s="33"/>
    </row>
    <row r="472" spans="15:15" x14ac:dyDescent="0.35">
      <c r="O472" s="33"/>
    </row>
    <row r="473" spans="15:15" x14ac:dyDescent="0.35">
      <c r="O473" s="33"/>
    </row>
    <row r="474" spans="15:15" x14ac:dyDescent="0.35">
      <c r="O474" s="33"/>
    </row>
    <row r="475" spans="15:15" x14ac:dyDescent="0.35">
      <c r="O475" s="34"/>
    </row>
    <row r="478" spans="15:15" x14ac:dyDescent="0.35">
      <c r="O478" s="33"/>
    </row>
    <row r="479" spans="15:15" x14ac:dyDescent="0.35">
      <c r="O479" s="33"/>
    </row>
    <row r="480" spans="15:15" x14ac:dyDescent="0.35">
      <c r="O480" s="33"/>
    </row>
    <row r="481" spans="15:15" x14ac:dyDescent="0.35">
      <c r="O481" s="33"/>
    </row>
    <row r="482" spans="15:15" x14ac:dyDescent="0.35">
      <c r="O482" s="33"/>
    </row>
    <row r="483" spans="15:15" x14ac:dyDescent="0.35">
      <c r="O483" s="34"/>
    </row>
    <row r="486" spans="15:15" x14ac:dyDescent="0.35">
      <c r="O486" s="33"/>
    </row>
    <row r="487" spans="15:15" x14ac:dyDescent="0.35">
      <c r="O487" s="33"/>
    </row>
    <row r="488" spans="15:15" x14ac:dyDescent="0.35">
      <c r="O488" s="33"/>
    </row>
    <row r="489" spans="15:15" x14ac:dyDescent="0.35">
      <c r="O489" s="33"/>
    </row>
    <row r="490" spans="15:15" x14ac:dyDescent="0.35">
      <c r="O490" s="33"/>
    </row>
    <row r="491" spans="15:15" x14ac:dyDescent="0.35">
      <c r="O491" s="34"/>
    </row>
    <row r="494" spans="15:15" x14ac:dyDescent="0.35">
      <c r="O494" s="33"/>
    </row>
    <row r="495" spans="15:15" x14ac:dyDescent="0.35">
      <c r="O495" s="33"/>
    </row>
    <row r="496" spans="15:15" x14ac:dyDescent="0.35">
      <c r="O496" s="33"/>
    </row>
    <row r="497" spans="15:15" x14ac:dyDescent="0.35">
      <c r="O497" s="33"/>
    </row>
    <row r="498" spans="15:15" x14ac:dyDescent="0.35">
      <c r="O498" s="33"/>
    </row>
    <row r="499" spans="15:15" x14ac:dyDescent="0.35">
      <c r="O499" s="34"/>
    </row>
    <row r="502" spans="15:15" x14ac:dyDescent="0.35">
      <c r="O502" s="33"/>
    </row>
    <row r="503" spans="15:15" x14ac:dyDescent="0.35">
      <c r="O503" s="33"/>
    </row>
    <row r="504" spans="15:15" x14ac:dyDescent="0.35">
      <c r="O504" s="33"/>
    </row>
    <row r="505" spans="15:15" x14ac:dyDescent="0.35">
      <c r="O505" s="33"/>
    </row>
    <row r="506" spans="15:15" x14ac:dyDescent="0.35">
      <c r="O506" s="33"/>
    </row>
    <row r="507" spans="15:15" x14ac:dyDescent="0.35">
      <c r="O507" s="34"/>
    </row>
    <row r="510" spans="15:15" x14ac:dyDescent="0.35">
      <c r="O510" s="33"/>
    </row>
    <row r="511" spans="15:15" x14ac:dyDescent="0.35">
      <c r="O511" s="33"/>
    </row>
    <row r="512" spans="15:15" x14ac:dyDescent="0.35">
      <c r="O512" s="33"/>
    </row>
    <row r="513" spans="15:15" x14ac:dyDescent="0.35">
      <c r="O513" s="33"/>
    </row>
    <row r="514" spans="15:15" x14ac:dyDescent="0.35">
      <c r="O514" s="33"/>
    </row>
    <row r="515" spans="15:15" x14ac:dyDescent="0.35">
      <c r="O515" s="34"/>
    </row>
    <row r="518" spans="15:15" x14ac:dyDescent="0.35">
      <c r="O518" s="33"/>
    </row>
    <row r="519" spans="15:15" x14ac:dyDescent="0.35">
      <c r="O519" s="33"/>
    </row>
    <row r="520" spans="15:15" x14ac:dyDescent="0.35">
      <c r="O520" s="33"/>
    </row>
    <row r="521" spans="15:15" x14ac:dyDescent="0.35">
      <c r="O521" s="33"/>
    </row>
    <row r="522" spans="15:15" x14ac:dyDescent="0.35">
      <c r="O522" s="33"/>
    </row>
    <row r="523" spans="15:15" x14ac:dyDescent="0.35">
      <c r="O523" s="3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thon2">
                <anchor moveWithCells="1" sizeWithCells="1">
                  <from>
                    <xdr:col>11</xdr:col>
                    <xdr:colOff>1181100</xdr:colOff>
                    <xdr:row>3</xdr:row>
                    <xdr:rowOff>349250</xdr:rowOff>
                  </from>
                  <to>
                    <xdr:col>13</xdr:col>
                    <xdr:colOff>355600</xdr:colOff>
                    <xdr:row>8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09BE3-454B-4F62-BD06-9483E4E4A87E}">
  <sheetPr codeName="Sheet2"/>
  <dimension ref="A1:Z8"/>
  <sheetViews>
    <sheetView workbookViewId="0">
      <selection activeCell="D13" sqref="D13"/>
    </sheetView>
  </sheetViews>
  <sheetFormatPr defaultRowHeight="14.5" x14ac:dyDescent="0.35"/>
  <cols>
    <col min="1" max="1" width="16.26953125" bestFit="1" customWidth="1"/>
    <col min="2" max="2" width="9.81640625" bestFit="1" customWidth="1"/>
    <col min="3" max="3" width="10.26953125" bestFit="1" customWidth="1"/>
    <col min="4" max="4" width="9.81640625" bestFit="1" customWidth="1"/>
    <col min="5" max="5" width="25.36328125" bestFit="1" customWidth="1"/>
    <col min="6" max="6" width="15.26953125" bestFit="1" customWidth="1"/>
    <col min="7" max="7" width="14.6328125" bestFit="1" customWidth="1"/>
  </cols>
  <sheetData>
    <row r="1" spans="1:26" x14ac:dyDescent="0.35">
      <c r="A1" s="41" t="s">
        <v>30</v>
      </c>
      <c r="B1" s="41" t="s">
        <v>23</v>
      </c>
      <c r="C1" s="41" t="s">
        <v>24</v>
      </c>
      <c r="D1" s="41" t="s">
        <v>25</v>
      </c>
      <c r="E1" s="41" t="s">
        <v>26</v>
      </c>
      <c r="F1" s="41" t="s">
        <v>27</v>
      </c>
      <c r="G1" s="41" t="s">
        <v>28</v>
      </c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</row>
    <row r="2" spans="1:26" x14ac:dyDescent="0.35">
      <c r="A2" t="s">
        <v>34</v>
      </c>
      <c r="B2">
        <v>352362000</v>
      </c>
      <c r="C2">
        <v>91663000</v>
      </c>
      <c r="D2">
        <v>179741000</v>
      </c>
      <c r="E2">
        <v>-154309000</v>
      </c>
      <c r="F2">
        <v>-69770000</v>
      </c>
      <c r="G2">
        <v>26.01</v>
      </c>
    </row>
    <row r="3" spans="1:26" x14ac:dyDescent="0.35">
      <c r="A3" t="s">
        <v>34</v>
      </c>
      <c r="B3">
        <v>352362000</v>
      </c>
      <c r="C3">
        <v>91663000</v>
      </c>
      <c r="D3">
        <v>179741000</v>
      </c>
      <c r="E3">
        <v>-154309000</v>
      </c>
      <c r="F3">
        <v>-69770000</v>
      </c>
      <c r="G3">
        <v>26.01</v>
      </c>
    </row>
    <row r="4" spans="1:26" x14ac:dyDescent="0.35">
      <c r="A4" t="s">
        <v>34</v>
      </c>
      <c r="B4">
        <v>352362000</v>
      </c>
      <c r="C4">
        <v>91663000</v>
      </c>
      <c r="D4">
        <v>179741000</v>
      </c>
      <c r="E4">
        <v>-154309000</v>
      </c>
      <c r="F4">
        <v>-69770000</v>
      </c>
      <c r="G4">
        <v>26.01</v>
      </c>
    </row>
    <row r="5" spans="1:26" x14ac:dyDescent="0.35">
      <c r="A5" t="s">
        <v>34</v>
      </c>
      <c r="B5">
        <v>352362000</v>
      </c>
      <c r="C5">
        <v>91663000</v>
      </c>
      <c r="D5">
        <v>179741000</v>
      </c>
      <c r="E5">
        <v>-154309000</v>
      </c>
      <c r="F5">
        <v>-69770000</v>
      </c>
      <c r="G5">
        <v>26.01</v>
      </c>
    </row>
    <row r="6" spans="1:26" x14ac:dyDescent="0.35">
      <c r="A6" t="s">
        <v>34</v>
      </c>
      <c r="B6">
        <v>352362000</v>
      </c>
      <c r="C6">
        <v>91663000</v>
      </c>
      <c r="D6">
        <v>179741000</v>
      </c>
      <c r="E6">
        <v>-154309000</v>
      </c>
      <c r="F6">
        <v>-69770000</v>
      </c>
      <c r="G6">
        <v>26.01</v>
      </c>
    </row>
    <row r="7" spans="1:26" x14ac:dyDescent="0.35">
      <c r="A7" t="s">
        <v>34</v>
      </c>
      <c r="B7">
        <v>352362000</v>
      </c>
      <c r="C7">
        <v>91663000</v>
      </c>
      <c r="D7">
        <v>179741000</v>
      </c>
      <c r="E7">
        <v>-154309000</v>
      </c>
      <c r="F7">
        <v>-69770000</v>
      </c>
      <c r="G7">
        <v>26.01</v>
      </c>
    </row>
    <row r="8" spans="1:26" x14ac:dyDescent="0.35">
      <c r="A8" t="s">
        <v>34</v>
      </c>
      <c r="B8">
        <v>352362000</v>
      </c>
      <c r="C8">
        <v>91663000</v>
      </c>
      <c r="D8">
        <v>179741000</v>
      </c>
      <c r="E8">
        <v>-154309000</v>
      </c>
      <c r="F8">
        <v>-69770000</v>
      </c>
      <c r="G8">
        <v>26.01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C5B49-38BE-4DF2-BE8A-E43A05126738}">
  <sheetPr codeName="Sheet1"/>
  <dimension ref="A2:BD2433"/>
  <sheetViews>
    <sheetView zoomScale="70" zoomScaleNormal="70" workbookViewId="0"/>
  </sheetViews>
  <sheetFormatPr defaultRowHeight="14.5" x14ac:dyDescent="0.35"/>
  <cols>
    <col min="1" max="1" width="13.453125" customWidth="1"/>
    <col min="2" max="2" width="17.1796875" customWidth="1"/>
    <col min="10" max="10" width="31.54296875" customWidth="1"/>
    <col min="11" max="13" width="20.54296875" customWidth="1"/>
    <col min="14" max="14" width="22.54296875" customWidth="1"/>
    <col min="15" max="15" width="20.54296875" customWidth="1"/>
    <col min="16" max="16" width="17.08984375" customWidth="1"/>
    <col min="19" max="19" width="15.54296875" bestFit="1" customWidth="1"/>
  </cols>
  <sheetData>
    <row r="2" spans="1:56" x14ac:dyDescent="0.35">
      <c r="J2" s="39" t="s">
        <v>32</v>
      </c>
      <c r="K2" s="39"/>
      <c r="L2" s="39"/>
      <c r="M2" s="39"/>
    </row>
    <row r="3" spans="1:56" x14ac:dyDescent="0.35">
      <c r="A3" t="s">
        <v>40</v>
      </c>
      <c r="J3" s="35" t="s">
        <v>52</v>
      </c>
      <c r="K3" s="35" t="s">
        <v>23</v>
      </c>
      <c r="L3" s="35" t="s">
        <v>24</v>
      </c>
      <c r="M3" s="35" t="s">
        <v>25</v>
      </c>
      <c r="N3" s="35" t="s">
        <v>31</v>
      </c>
      <c r="O3" s="35" t="s">
        <v>27</v>
      </c>
      <c r="P3" s="35" t="s">
        <v>28</v>
      </c>
    </row>
    <row r="4" spans="1:56" x14ac:dyDescent="0.35">
      <c r="A4" t="s">
        <v>23</v>
      </c>
      <c r="B4" s="33">
        <v>61473000000</v>
      </c>
      <c r="J4" s="36"/>
      <c r="K4" s="37">
        <v>1010400000</v>
      </c>
      <c r="L4" s="37">
        <v>403300000</v>
      </c>
      <c r="M4" s="37">
        <v>176600000</v>
      </c>
      <c r="N4" s="37">
        <v>-38900000</v>
      </c>
      <c r="O4" s="37">
        <v>242000000</v>
      </c>
      <c r="P4" s="38">
        <v>0.4</v>
      </c>
    </row>
    <row r="5" spans="1:56" x14ac:dyDescent="0.35">
      <c r="A5" t="s">
        <v>24</v>
      </c>
      <c r="B5" s="33" t="s">
        <v>35</v>
      </c>
      <c r="J5" s="36"/>
      <c r="K5" s="37">
        <v>1071526000</v>
      </c>
      <c r="L5" s="37">
        <v>312369000</v>
      </c>
      <c r="M5" s="37">
        <v>234831000</v>
      </c>
      <c r="N5" s="37">
        <v>27224000</v>
      </c>
      <c r="O5" s="37">
        <v>112489000</v>
      </c>
      <c r="P5" s="38">
        <v>0.28999999999999998</v>
      </c>
      <c r="S5" s="33"/>
    </row>
    <row r="6" spans="1:56" x14ac:dyDescent="0.35">
      <c r="A6" t="s">
        <v>25</v>
      </c>
      <c r="B6" s="33">
        <v>14090000000</v>
      </c>
      <c r="J6" s="36"/>
      <c r="K6" s="37">
        <v>963900000</v>
      </c>
      <c r="L6" s="37">
        <v>375400000</v>
      </c>
      <c r="M6" s="37">
        <v>192600000</v>
      </c>
      <c r="N6" s="37">
        <v>38700000</v>
      </c>
      <c r="O6" s="37">
        <v>217300000</v>
      </c>
      <c r="P6" s="38">
        <v>0.39</v>
      </c>
      <c r="S6" s="33"/>
      <c r="T6" s="33"/>
      <c r="U6" s="33"/>
      <c r="V6" s="33"/>
      <c r="W6" s="33"/>
      <c r="X6" s="34"/>
      <c r="AA6" s="33"/>
      <c r="AB6" s="33"/>
      <c r="AC6" s="33"/>
      <c r="AD6" s="33"/>
      <c r="AE6" s="33"/>
      <c r="AF6" s="34"/>
      <c r="AI6" s="33"/>
      <c r="AJ6" s="33"/>
      <c r="AK6" s="33"/>
      <c r="AL6" s="33"/>
      <c r="AM6" s="33"/>
      <c r="AN6" s="34"/>
      <c r="AQ6" s="33"/>
      <c r="AR6" s="33"/>
      <c r="AS6" s="33"/>
      <c r="AT6" s="33"/>
      <c r="AU6" s="33"/>
      <c r="AV6" s="34"/>
      <c r="AY6" s="33"/>
      <c r="AZ6" s="33"/>
      <c r="BA6" s="33"/>
      <c r="BB6" s="33"/>
      <c r="BC6" s="33"/>
      <c r="BD6" s="34"/>
    </row>
    <row r="7" spans="1:56" x14ac:dyDescent="0.35">
      <c r="A7" t="s">
        <v>26</v>
      </c>
      <c r="B7" s="33">
        <v>18812000000</v>
      </c>
      <c r="J7" s="36"/>
      <c r="K7" s="37">
        <v>1177300000</v>
      </c>
      <c r="L7" s="37">
        <v>272500000</v>
      </c>
      <c r="M7" s="37">
        <v>167500000</v>
      </c>
      <c r="N7" s="37">
        <v>55200000</v>
      </c>
      <c r="O7" s="37">
        <v>103300000</v>
      </c>
      <c r="P7" s="38">
        <v>0.23</v>
      </c>
    </row>
    <row r="8" spans="1:56" x14ac:dyDescent="0.35">
      <c r="A8" t="s">
        <v>27</v>
      </c>
      <c r="B8" s="33">
        <v>39519000000</v>
      </c>
      <c r="J8" s="36"/>
      <c r="K8" s="37">
        <v>228841000</v>
      </c>
      <c r="L8" s="37">
        <v>113375000</v>
      </c>
      <c r="M8" s="37">
        <v>65117000</v>
      </c>
      <c r="N8" s="37">
        <v>-5850000</v>
      </c>
      <c r="O8" s="37">
        <v>24695000</v>
      </c>
      <c r="P8" s="38">
        <v>0.5</v>
      </c>
    </row>
    <row r="9" spans="1:56" x14ac:dyDescent="0.35">
      <c r="A9" t="s">
        <v>28</v>
      </c>
      <c r="B9" s="34" t="s">
        <v>35</v>
      </c>
      <c r="J9" s="36"/>
      <c r="K9" s="37">
        <v>111420000</v>
      </c>
      <c r="L9" s="37">
        <v>32881000</v>
      </c>
      <c r="M9" s="37">
        <v>30620000</v>
      </c>
      <c r="N9" s="37">
        <v>-46882000</v>
      </c>
      <c r="O9" s="37">
        <v>18633000</v>
      </c>
      <c r="P9" s="38">
        <v>0.3</v>
      </c>
    </row>
    <row r="10" spans="1:56" x14ac:dyDescent="0.35">
      <c r="J10" s="36"/>
      <c r="K10" s="37">
        <v>352362000</v>
      </c>
      <c r="L10" s="37">
        <v>91663000</v>
      </c>
      <c r="M10" s="37">
        <v>179741000</v>
      </c>
      <c r="N10" s="37">
        <v>-154309000</v>
      </c>
      <c r="O10" s="37">
        <v>-69770000</v>
      </c>
      <c r="P10" s="38">
        <v>0.26</v>
      </c>
    </row>
    <row r="11" spans="1:56" x14ac:dyDescent="0.35">
      <c r="A11" t="s">
        <v>36</v>
      </c>
    </row>
    <row r="12" spans="1:56" x14ac:dyDescent="0.35">
      <c r="A12" t="s">
        <v>23</v>
      </c>
      <c r="B12" s="33">
        <v>52871000000</v>
      </c>
    </row>
    <row r="13" spans="1:56" x14ac:dyDescent="0.35">
      <c r="A13" t="s">
        <v>24</v>
      </c>
      <c r="B13" s="33">
        <v>28584000000</v>
      </c>
      <c r="N13" s="33"/>
    </row>
    <row r="14" spans="1:56" x14ac:dyDescent="0.35">
      <c r="A14" t="s">
        <v>25</v>
      </c>
      <c r="B14" s="33">
        <v>15294000000</v>
      </c>
      <c r="N14" s="33"/>
    </row>
    <row r="15" spans="1:56" x14ac:dyDescent="0.35">
      <c r="A15" t="s">
        <v>26</v>
      </c>
      <c r="B15" s="33">
        <v>8968000000</v>
      </c>
      <c r="N15" s="33"/>
    </row>
    <row r="16" spans="1:56" x14ac:dyDescent="0.35">
      <c r="A16" t="s">
        <v>27</v>
      </c>
      <c r="B16" s="33">
        <v>12912000000</v>
      </c>
      <c r="N16" s="33"/>
    </row>
    <row r="17" spans="1:14" x14ac:dyDescent="0.35">
      <c r="A17" t="s">
        <v>28</v>
      </c>
      <c r="B17" s="34">
        <v>0.54</v>
      </c>
      <c r="N17" s="33"/>
    </row>
    <row r="18" spans="1:14" x14ac:dyDescent="0.35">
      <c r="N18" s="34"/>
    </row>
    <row r="19" spans="1:14" x14ac:dyDescent="0.35">
      <c r="A19" t="s">
        <v>41</v>
      </c>
    </row>
    <row r="20" spans="1:14" x14ac:dyDescent="0.35">
      <c r="A20" t="s">
        <v>23</v>
      </c>
      <c r="B20" s="33">
        <v>41831000000</v>
      </c>
    </row>
    <row r="21" spans="1:14" x14ac:dyDescent="0.35">
      <c r="A21" t="s">
        <v>24</v>
      </c>
      <c r="B21" s="33">
        <v>7031000000</v>
      </c>
      <c r="N21" s="33"/>
    </row>
    <row r="22" spans="1:14" x14ac:dyDescent="0.35">
      <c r="A22" t="s">
        <v>25</v>
      </c>
      <c r="B22" s="33">
        <v>2617000000</v>
      </c>
      <c r="N22" s="33"/>
    </row>
    <row r="23" spans="1:14" x14ac:dyDescent="0.35">
      <c r="A23" t="s">
        <v>26</v>
      </c>
      <c r="B23" s="33">
        <v>4696000000</v>
      </c>
      <c r="N23" s="33"/>
    </row>
    <row r="24" spans="1:14" x14ac:dyDescent="0.35">
      <c r="A24" t="s">
        <v>27</v>
      </c>
      <c r="B24" s="33">
        <v>4622000000</v>
      </c>
      <c r="N24" s="33"/>
    </row>
    <row r="25" spans="1:14" x14ac:dyDescent="0.35">
      <c r="A25" t="s">
        <v>28</v>
      </c>
      <c r="B25" s="34">
        <v>0.17</v>
      </c>
      <c r="N25" s="33"/>
    </row>
    <row r="26" spans="1:14" x14ac:dyDescent="0.35">
      <c r="N26" s="34"/>
    </row>
    <row r="27" spans="1:14" x14ac:dyDescent="0.35">
      <c r="A27" t="s">
        <v>42</v>
      </c>
    </row>
    <row r="28" spans="1:14" x14ac:dyDescent="0.35">
      <c r="A28" t="s">
        <v>23</v>
      </c>
      <c r="B28" s="33">
        <v>36118000000</v>
      </c>
    </row>
    <row r="29" spans="1:14" x14ac:dyDescent="0.35">
      <c r="A29" t="s">
        <v>24</v>
      </c>
      <c r="B29" s="33">
        <v>3057000000</v>
      </c>
      <c r="N29" s="33"/>
    </row>
    <row r="30" spans="1:14" x14ac:dyDescent="0.35">
      <c r="A30" t="s">
        <v>25</v>
      </c>
      <c r="B30" s="33" t="s">
        <v>35</v>
      </c>
      <c r="N30" s="33" t="s">
        <v>33</v>
      </c>
    </row>
    <row r="31" spans="1:14" x14ac:dyDescent="0.35">
      <c r="A31" t="s">
        <v>26</v>
      </c>
      <c r="B31" s="33">
        <v>1610000000</v>
      </c>
      <c r="N31" s="33"/>
    </row>
    <row r="32" spans="1:14" x14ac:dyDescent="0.35">
      <c r="A32" t="s">
        <v>27</v>
      </c>
      <c r="B32" s="33">
        <v>3922000000</v>
      </c>
      <c r="N32" s="33"/>
    </row>
    <row r="33" spans="1:15" x14ac:dyDescent="0.35">
      <c r="A33" t="s">
        <v>28</v>
      </c>
      <c r="B33" s="34">
        <v>0.08</v>
      </c>
      <c r="L33" t="s">
        <v>29</v>
      </c>
      <c r="N33" s="33"/>
    </row>
    <row r="34" spans="1:15" x14ac:dyDescent="0.35">
      <c r="N34" s="34"/>
    </row>
    <row r="35" spans="1:15" x14ac:dyDescent="0.35">
      <c r="A35" t="s">
        <v>37</v>
      </c>
    </row>
    <row r="36" spans="1:15" x14ac:dyDescent="0.35">
      <c r="A36" t="s">
        <v>23</v>
      </c>
      <c r="B36" s="33">
        <v>90805000000</v>
      </c>
    </row>
    <row r="37" spans="1:15" x14ac:dyDescent="0.35">
      <c r="A37" t="s">
        <v>24</v>
      </c>
      <c r="B37" s="33">
        <v>60521000000</v>
      </c>
      <c r="N37" s="33"/>
    </row>
    <row r="38" spans="1:15" x14ac:dyDescent="0.35">
      <c r="A38" t="s">
        <v>25</v>
      </c>
      <c r="B38" s="33">
        <v>2163000000</v>
      </c>
      <c r="N38" s="33"/>
    </row>
    <row r="39" spans="1:15" x14ac:dyDescent="0.35">
      <c r="A39" t="s">
        <v>26</v>
      </c>
      <c r="B39" s="33">
        <v>42779000000</v>
      </c>
      <c r="N39" s="33"/>
    </row>
    <row r="40" spans="1:15" x14ac:dyDescent="0.35">
      <c r="A40" t="s">
        <v>27</v>
      </c>
      <c r="B40" s="33">
        <v>54724000000</v>
      </c>
      <c r="M40" s="35"/>
      <c r="N40" s="35"/>
      <c r="O40" s="35"/>
    </row>
    <row r="41" spans="1:15" x14ac:dyDescent="0.35">
      <c r="A41" t="s">
        <v>28</v>
      </c>
      <c r="B41" s="34">
        <v>0.67</v>
      </c>
      <c r="M41" s="40"/>
      <c r="N41" s="36"/>
      <c r="O41" s="36"/>
    </row>
    <row r="42" spans="1:15" x14ac:dyDescent="0.35">
      <c r="M42" s="40"/>
      <c r="N42" s="36"/>
      <c r="O42" s="36"/>
    </row>
    <row r="43" spans="1:15" x14ac:dyDescent="0.35">
      <c r="A43" t="s">
        <v>38</v>
      </c>
      <c r="M43" s="40"/>
      <c r="N43" s="36"/>
      <c r="O43" s="36"/>
    </row>
    <row r="44" spans="1:15" x14ac:dyDescent="0.35">
      <c r="A44" t="s">
        <v>23</v>
      </c>
      <c r="B44" s="33">
        <v>19322000000</v>
      </c>
      <c r="M44" s="40"/>
      <c r="N44" s="36"/>
      <c r="O44" s="36"/>
    </row>
    <row r="45" spans="1:15" x14ac:dyDescent="0.35">
      <c r="A45" t="s">
        <v>24</v>
      </c>
      <c r="B45" s="33">
        <v>19790000000</v>
      </c>
      <c r="M45" s="40"/>
      <c r="N45" s="36"/>
      <c r="O45" s="36"/>
    </row>
    <row r="46" spans="1:15" x14ac:dyDescent="0.35">
      <c r="A46" t="s">
        <v>25</v>
      </c>
      <c r="B46" s="33">
        <v>16088000000</v>
      </c>
      <c r="M46" s="40"/>
      <c r="N46" s="36"/>
      <c r="O46" s="36"/>
    </row>
    <row r="47" spans="1:15" x14ac:dyDescent="0.35">
      <c r="A47" t="s">
        <v>26</v>
      </c>
      <c r="B47" s="33">
        <v>3698000000</v>
      </c>
      <c r="M47" s="40"/>
      <c r="N47" s="36"/>
      <c r="O47" s="36"/>
    </row>
    <row r="48" spans="1:15" x14ac:dyDescent="0.35">
      <c r="A48" t="s">
        <v>27</v>
      </c>
      <c r="B48" s="33" t="s">
        <v>35</v>
      </c>
      <c r="M48" s="40"/>
      <c r="N48" s="36"/>
      <c r="O48" s="36"/>
    </row>
    <row r="49" spans="1:15" x14ac:dyDescent="0.35">
      <c r="A49" t="s">
        <v>28</v>
      </c>
      <c r="B49" s="34">
        <v>1.02</v>
      </c>
      <c r="M49" s="40"/>
      <c r="N49" s="36"/>
      <c r="O49" s="36"/>
    </row>
    <row r="50" spans="1:15" x14ac:dyDescent="0.35">
      <c r="M50" s="40"/>
      <c r="N50" s="36"/>
      <c r="O50" s="36"/>
    </row>
    <row r="51" spans="1:15" x14ac:dyDescent="0.35">
      <c r="A51" t="s">
        <v>39</v>
      </c>
    </row>
    <row r="52" spans="1:15" x14ac:dyDescent="0.35">
      <c r="A52" t="s">
        <v>23</v>
      </c>
      <c r="B52" s="33">
        <v>265595000000</v>
      </c>
    </row>
    <row r="53" spans="1:15" x14ac:dyDescent="0.35">
      <c r="A53" t="s">
        <v>24</v>
      </c>
      <c r="B53" s="33">
        <v>146860000000</v>
      </c>
      <c r="N53" s="33"/>
    </row>
    <row r="54" spans="1:15" x14ac:dyDescent="0.35">
      <c r="A54" t="s">
        <v>25</v>
      </c>
      <c r="B54" s="33">
        <v>20553000000</v>
      </c>
      <c r="N54" s="33"/>
    </row>
    <row r="55" spans="1:15" x14ac:dyDescent="0.35">
      <c r="A55" t="s">
        <v>26</v>
      </c>
      <c r="B55" s="33">
        <v>81754000000</v>
      </c>
      <c r="N55" s="33"/>
    </row>
    <row r="56" spans="1:15" x14ac:dyDescent="0.35">
      <c r="A56" t="s">
        <v>27</v>
      </c>
      <c r="B56" s="33">
        <v>113258000000</v>
      </c>
      <c r="N56" s="33"/>
    </row>
    <row r="57" spans="1:15" x14ac:dyDescent="0.35">
      <c r="A57" t="s">
        <v>28</v>
      </c>
      <c r="B57" s="34">
        <v>0.55000000000000004</v>
      </c>
      <c r="N57" s="33"/>
    </row>
    <row r="58" spans="1:15" x14ac:dyDescent="0.35">
      <c r="N58" s="34"/>
    </row>
    <row r="59" spans="1:15" x14ac:dyDescent="0.35">
      <c r="A59" t="s">
        <v>43</v>
      </c>
    </row>
    <row r="60" spans="1:15" x14ac:dyDescent="0.35">
      <c r="A60" t="s">
        <v>23</v>
      </c>
      <c r="B60" s="33">
        <v>36148000000</v>
      </c>
    </row>
    <row r="61" spans="1:15" x14ac:dyDescent="0.35">
      <c r="A61" t="s">
        <v>24</v>
      </c>
      <c r="B61" s="33">
        <v>193893000000</v>
      </c>
      <c r="N61" s="33"/>
    </row>
    <row r="62" spans="1:15" x14ac:dyDescent="0.35">
      <c r="A62" t="s">
        <v>25</v>
      </c>
      <c r="B62" s="33" t="s">
        <v>35</v>
      </c>
      <c r="N62" s="33"/>
    </row>
    <row r="63" spans="1:15" x14ac:dyDescent="0.35">
      <c r="A63" t="s">
        <v>26</v>
      </c>
      <c r="B63" s="33">
        <v>136162000000</v>
      </c>
      <c r="N63" s="33"/>
    </row>
    <row r="64" spans="1:15" x14ac:dyDescent="0.35">
      <c r="A64" t="s">
        <v>27</v>
      </c>
      <c r="B64" s="33">
        <v>154562000000</v>
      </c>
      <c r="N64" s="33"/>
    </row>
    <row r="65" spans="1:14" x14ac:dyDescent="0.35">
      <c r="A65" t="s">
        <v>28</v>
      </c>
      <c r="B65" s="34">
        <v>5.36</v>
      </c>
      <c r="N65" s="33"/>
    </row>
    <row r="66" spans="1:14" x14ac:dyDescent="0.35">
      <c r="N66" s="34"/>
    </row>
    <row r="67" spans="1:14" x14ac:dyDescent="0.35">
      <c r="A67" t="s">
        <v>44</v>
      </c>
    </row>
    <row r="68" spans="1:14" x14ac:dyDescent="0.35">
      <c r="A68" t="s">
        <v>23</v>
      </c>
      <c r="B68" s="33">
        <v>343011000000</v>
      </c>
    </row>
    <row r="69" spans="1:14" x14ac:dyDescent="0.35">
      <c r="A69" t="s">
        <v>24</v>
      </c>
      <c r="B69" s="33" t="s">
        <v>35</v>
      </c>
    </row>
    <row r="70" spans="1:14" x14ac:dyDescent="0.35">
      <c r="A70" t="s">
        <v>25</v>
      </c>
      <c r="B70" s="33">
        <v>71516000000</v>
      </c>
    </row>
    <row r="71" spans="1:14" x14ac:dyDescent="0.35">
      <c r="A71" t="s">
        <v>26</v>
      </c>
      <c r="B71" s="33">
        <v>18352000000</v>
      </c>
    </row>
    <row r="72" spans="1:14" x14ac:dyDescent="0.35">
      <c r="A72" t="s">
        <v>27</v>
      </c>
      <c r="B72" s="33" t="s">
        <v>35</v>
      </c>
    </row>
    <row r="73" spans="1:14" x14ac:dyDescent="0.35">
      <c r="A73" t="s">
        <v>28</v>
      </c>
      <c r="B73" s="34" t="s">
        <v>35</v>
      </c>
    </row>
    <row r="75" spans="1:14" x14ac:dyDescent="0.35">
      <c r="A75" t="s">
        <v>45</v>
      </c>
    </row>
    <row r="76" spans="1:14" x14ac:dyDescent="0.35">
      <c r="A76" t="s">
        <v>23</v>
      </c>
      <c r="B76" s="33">
        <v>18881000000</v>
      </c>
    </row>
    <row r="77" spans="1:14" x14ac:dyDescent="0.35">
      <c r="A77" t="s">
        <v>24</v>
      </c>
      <c r="B77" s="33" t="s">
        <v>35</v>
      </c>
    </row>
    <row r="78" spans="1:14" x14ac:dyDescent="0.35">
      <c r="A78" t="s">
        <v>25</v>
      </c>
      <c r="B78" s="33">
        <v>1663000000</v>
      </c>
    </row>
    <row r="79" spans="1:14" x14ac:dyDescent="0.35">
      <c r="A79" t="s">
        <v>26</v>
      </c>
      <c r="B79" s="33">
        <v>3317000000</v>
      </c>
    </row>
    <row r="80" spans="1:14" x14ac:dyDescent="0.35">
      <c r="A80" t="s">
        <v>27</v>
      </c>
      <c r="B80" s="33">
        <v>2330000000</v>
      </c>
    </row>
    <row r="81" spans="1:2" x14ac:dyDescent="0.35">
      <c r="A81" t="s">
        <v>28</v>
      </c>
      <c r="B81" s="34" t="s">
        <v>35</v>
      </c>
    </row>
    <row r="83" spans="1:2" x14ac:dyDescent="0.35">
      <c r="A83" t="s">
        <v>46</v>
      </c>
    </row>
    <row r="84" spans="1:2" x14ac:dyDescent="0.35">
      <c r="A84" t="s">
        <v>23</v>
      </c>
      <c r="B84" s="33">
        <v>23664000000</v>
      </c>
    </row>
    <row r="85" spans="1:2" x14ac:dyDescent="0.35">
      <c r="A85" t="s">
        <v>24</v>
      </c>
      <c r="B85" s="33">
        <v>14787000000</v>
      </c>
    </row>
    <row r="86" spans="1:2" x14ac:dyDescent="0.35">
      <c r="A86" t="s">
        <v>25</v>
      </c>
      <c r="B86" s="33">
        <v>6704000000</v>
      </c>
    </row>
    <row r="87" spans="1:2" x14ac:dyDescent="0.35">
      <c r="A87" t="s">
        <v>26</v>
      </c>
      <c r="B87" s="33">
        <v>-1391000000</v>
      </c>
    </row>
    <row r="88" spans="1:2" x14ac:dyDescent="0.35">
      <c r="A88" t="s">
        <v>27</v>
      </c>
      <c r="B88" s="33">
        <v>10778000000</v>
      </c>
    </row>
    <row r="89" spans="1:2" x14ac:dyDescent="0.35">
      <c r="A89" t="s">
        <v>28</v>
      </c>
      <c r="B89" s="34">
        <v>0.62</v>
      </c>
    </row>
    <row r="91" spans="1:2" x14ac:dyDescent="0.35">
      <c r="A91" t="s">
        <v>47</v>
      </c>
    </row>
    <row r="92" spans="1:2" x14ac:dyDescent="0.35">
      <c r="A92" t="s">
        <v>23</v>
      </c>
      <c r="B92" s="33">
        <v>30818000000</v>
      </c>
    </row>
    <row r="93" spans="1:2" x14ac:dyDescent="0.35">
      <c r="A93" t="s">
        <v>24</v>
      </c>
      <c r="B93" s="33">
        <v>2786000000</v>
      </c>
    </row>
    <row r="94" spans="1:2" x14ac:dyDescent="0.35">
      <c r="A94" t="s">
        <v>25</v>
      </c>
      <c r="B94" s="33">
        <v>3287000000</v>
      </c>
    </row>
    <row r="95" spans="1:2" x14ac:dyDescent="0.35">
      <c r="A95" t="s">
        <v>26</v>
      </c>
      <c r="B95" s="33">
        <v>4411000000</v>
      </c>
    </row>
    <row r="96" spans="1:2" x14ac:dyDescent="0.35">
      <c r="A96" t="s">
        <v>27</v>
      </c>
      <c r="B96" s="33" t="s">
        <v>35</v>
      </c>
    </row>
    <row r="97" spans="1:2" x14ac:dyDescent="0.35">
      <c r="A97" t="s">
        <v>28</v>
      </c>
      <c r="B97" s="34">
        <v>0.09</v>
      </c>
    </row>
    <row r="99" spans="1:2" x14ac:dyDescent="0.35">
      <c r="A99" t="s">
        <v>48</v>
      </c>
    </row>
    <row r="100" spans="1:2" x14ac:dyDescent="0.35">
      <c r="A100" t="s">
        <v>23</v>
      </c>
      <c r="B100" s="33">
        <v>31519000000</v>
      </c>
    </row>
    <row r="101" spans="1:2" x14ac:dyDescent="0.35">
      <c r="A101" t="s">
        <v>24</v>
      </c>
      <c r="B101" s="33">
        <v>18008000000</v>
      </c>
    </row>
    <row r="102" spans="1:2" x14ac:dyDescent="0.35">
      <c r="A102" t="s">
        <v>25</v>
      </c>
      <c r="B102" s="33">
        <v>9913000000</v>
      </c>
    </row>
    <row r="103" spans="1:2" x14ac:dyDescent="0.35">
      <c r="A103" t="s">
        <v>26</v>
      </c>
      <c r="B103" s="33">
        <v>6071000000</v>
      </c>
    </row>
    <row r="104" spans="1:2" x14ac:dyDescent="0.35">
      <c r="A104" t="s">
        <v>27</v>
      </c>
      <c r="B104" s="33">
        <v>7163000000</v>
      </c>
    </row>
    <row r="105" spans="1:2" x14ac:dyDescent="0.35">
      <c r="A105" t="s">
        <v>28</v>
      </c>
      <c r="B105" s="34">
        <v>0.56999999999999995</v>
      </c>
    </row>
    <row r="107" spans="1:2" x14ac:dyDescent="0.35">
      <c r="A107" t="s">
        <v>49</v>
      </c>
    </row>
    <row r="108" spans="1:2" x14ac:dyDescent="0.35">
      <c r="A108" t="s">
        <v>23</v>
      </c>
      <c r="B108" s="33">
        <v>12298000000</v>
      </c>
    </row>
    <row r="109" spans="1:2" x14ac:dyDescent="0.35">
      <c r="A109" t="s">
        <v>24</v>
      </c>
      <c r="B109" s="33" t="s">
        <v>35</v>
      </c>
    </row>
    <row r="110" spans="1:2" x14ac:dyDescent="0.35">
      <c r="A110" t="s">
        <v>25</v>
      </c>
      <c r="B110" s="33">
        <v>2212000000</v>
      </c>
    </row>
    <row r="111" spans="1:2" x14ac:dyDescent="0.35">
      <c r="A111" t="s">
        <v>26</v>
      </c>
      <c r="B111" s="33">
        <v>-1033000000</v>
      </c>
    </row>
    <row r="112" spans="1:2" x14ac:dyDescent="0.35">
      <c r="A112" t="s">
        <v>27</v>
      </c>
      <c r="B112" s="33">
        <v>4221000000</v>
      </c>
    </row>
    <row r="113" spans="1:2" x14ac:dyDescent="0.35">
      <c r="A113" t="s">
        <v>28</v>
      </c>
      <c r="B113" s="34" t="s">
        <v>35</v>
      </c>
    </row>
    <row r="115" spans="1:2" x14ac:dyDescent="0.35">
      <c r="A115" t="s">
        <v>50</v>
      </c>
    </row>
    <row r="116" spans="1:2" x14ac:dyDescent="0.35">
      <c r="A116" t="s">
        <v>23</v>
      </c>
      <c r="B116" s="33">
        <v>91141000000</v>
      </c>
    </row>
    <row r="117" spans="1:2" x14ac:dyDescent="0.35">
      <c r="A117" t="s">
        <v>24</v>
      </c>
      <c r="B117" s="33">
        <v>-3135000000</v>
      </c>
    </row>
    <row r="118" spans="1:2" x14ac:dyDescent="0.35">
      <c r="A118" t="s">
        <v>25</v>
      </c>
      <c r="B118" s="33">
        <v>8554000000</v>
      </c>
    </row>
    <row r="119" spans="1:2" x14ac:dyDescent="0.35">
      <c r="A119" t="s">
        <v>26</v>
      </c>
      <c r="B119" s="33">
        <v>12969000000</v>
      </c>
    </row>
    <row r="120" spans="1:2" x14ac:dyDescent="0.35">
      <c r="A120" t="s">
        <v>27</v>
      </c>
      <c r="B120" s="33">
        <v>12546000000</v>
      </c>
    </row>
    <row r="121" spans="1:2" x14ac:dyDescent="0.35">
      <c r="A121" t="s">
        <v>28</v>
      </c>
      <c r="B121" s="34">
        <v>-0.03</v>
      </c>
    </row>
    <row r="123" spans="1:2" x14ac:dyDescent="0.35">
      <c r="A123" t="s">
        <v>51</v>
      </c>
    </row>
    <row r="124" spans="1:2" x14ac:dyDescent="0.35">
      <c r="A124" t="s">
        <v>23</v>
      </c>
      <c r="B124" s="33">
        <v>3913000000</v>
      </c>
    </row>
    <row r="125" spans="1:2" x14ac:dyDescent="0.35">
      <c r="A125" t="s">
        <v>24</v>
      </c>
      <c r="B125" s="33">
        <v>6795000000</v>
      </c>
    </row>
    <row r="126" spans="1:2" x14ac:dyDescent="0.35">
      <c r="A126" t="s">
        <v>25</v>
      </c>
      <c r="B126" s="33">
        <v>1877000000</v>
      </c>
    </row>
    <row r="127" spans="1:2" x14ac:dyDescent="0.35">
      <c r="A127" t="s">
        <v>26</v>
      </c>
      <c r="B127" s="33">
        <v>2950000000</v>
      </c>
    </row>
    <row r="128" spans="1:2" x14ac:dyDescent="0.35">
      <c r="A128" t="s">
        <v>27</v>
      </c>
      <c r="B128" s="33">
        <v>2517000000</v>
      </c>
    </row>
    <row r="129" spans="1:2" x14ac:dyDescent="0.35">
      <c r="A129" t="s">
        <v>28</v>
      </c>
      <c r="B129" s="34">
        <v>1.74</v>
      </c>
    </row>
    <row r="131" spans="1:2" x14ac:dyDescent="0.35">
      <c r="A131" t="s">
        <v>40</v>
      </c>
    </row>
    <row r="132" spans="1:2" x14ac:dyDescent="0.35">
      <c r="A132" t="s">
        <v>23</v>
      </c>
      <c r="B132" s="33">
        <v>61473000000</v>
      </c>
    </row>
    <row r="133" spans="1:2" x14ac:dyDescent="0.35">
      <c r="A133" t="s">
        <v>24</v>
      </c>
      <c r="B133" s="33" t="s">
        <v>35</v>
      </c>
    </row>
    <row r="134" spans="1:2" x14ac:dyDescent="0.35">
      <c r="A134" t="s">
        <v>25</v>
      </c>
      <c r="B134" s="33">
        <v>14090000000</v>
      </c>
    </row>
    <row r="135" spans="1:2" x14ac:dyDescent="0.35">
      <c r="A135" t="s">
        <v>26</v>
      </c>
      <c r="B135" s="33">
        <v>18812000000</v>
      </c>
    </row>
    <row r="136" spans="1:2" x14ac:dyDescent="0.35">
      <c r="A136" t="s">
        <v>27</v>
      </c>
      <c r="B136" s="33">
        <v>39519000000</v>
      </c>
    </row>
    <row r="137" spans="1:2" x14ac:dyDescent="0.35">
      <c r="A137" t="s">
        <v>28</v>
      </c>
      <c r="B137" s="34" t="s">
        <v>35</v>
      </c>
    </row>
    <row r="139" spans="1:2" x14ac:dyDescent="0.35">
      <c r="A139" t="s">
        <v>36</v>
      </c>
    </row>
    <row r="140" spans="1:2" x14ac:dyDescent="0.35">
      <c r="A140" t="s">
        <v>23</v>
      </c>
      <c r="B140" s="33">
        <v>52871000000</v>
      </c>
    </row>
    <row r="141" spans="1:2" x14ac:dyDescent="0.35">
      <c r="A141" t="s">
        <v>24</v>
      </c>
      <c r="B141" s="33">
        <v>28584000000</v>
      </c>
    </row>
    <row r="142" spans="1:2" x14ac:dyDescent="0.35">
      <c r="A142" t="s">
        <v>25</v>
      </c>
      <c r="B142" s="33">
        <v>15294000000</v>
      </c>
    </row>
    <row r="143" spans="1:2" x14ac:dyDescent="0.35">
      <c r="A143" t="s">
        <v>26</v>
      </c>
      <c r="B143" s="33">
        <v>8968000000</v>
      </c>
    </row>
    <row r="144" spans="1:2" x14ac:dyDescent="0.35">
      <c r="A144" t="s">
        <v>27</v>
      </c>
      <c r="B144" s="33">
        <v>12912000000</v>
      </c>
    </row>
    <row r="145" spans="1:2" x14ac:dyDescent="0.35">
      <c r="A145" t="s">
        <v>28</v>
      </c>
      <c r="B145" s="34">
        <v>0.54</v>
      </c>
    </row>
    <row r="147" spans="1:2" x14ac:dyDescent="0.35">
      <c r="A147" t="s">
        <v>41</v>
      </c>
    </row>
    <row r="148" spans="1:2" x14ac:dyDescent="0.35">
      <c r="A148" t="s">
        <v>23</v>
      </c>
      <c r="B148" s="33">
        <v>41831000000</v>
      </c>
    </row>
    <row r="149" spans="1:2" x14ac:dyDescent="0.35">
      <c r="A149" t="s">
        <v>24</v>
      </c>
      <c r="B149" s="33">
        <v>7031000000</v>
      </c>
    </row>
    <row r="150" spans="1:2" x14ac:dyDescent="0.35">
      <c r="A150" t="s">
        <v>25</v>
      </c>
      <c r="B150" s="33">
        <v>2617000000</v>
      </c>
    </row>
    <row r="151" spans="1:2" x14ac:dyDescent="0.35">
      <c r="A151" t="s">
        <v>26</v>
      </c>
      <c r="B151" s="33">
        <v>4696000000</v>
      </c>
    </row>
    <row r="152" spans="1:2" x14ac:dyDescent="0.35">
      <c r="A152" t="s">
        <v>27</v>
      </c>
      <c r="B152" s="33">
        <v>4622000000</v>
      </c>
    </row>
    <row r="153" spans="1:2" x14ac:dyDescent="0.35">
      <c r="A153" t="s">
        <v>28</v>
      </c>
      <c r="B153" s="34">
        <v>0.17</v>
      </c>
    </row>
    <row r="155" spans="1:2" x14ac:dyDescent="0.35">
      <c r="A155" t="s">
        <v>42</v>
      </c>
    </row>
    <row r="156" spans="1:2" x14ac:dyDescent="0.35">
      <c r="A156" t="s">
        <v>23</v>
      </c>
      <c r="B156" s="33">
        <v>36118000000</v>
      </c>
    </row>
    <row r="157" spans="1:2" x14ac:dyDescent="0.35">
      <c r="A157" t="s">
        <v>24</v>
      </c>
      <c r="B157" s="33">
        <v>3057000000</v>
      </c>
    </row>
    <row r="158" spans="1:2" x14ac:dyDescent="0.35">
      <c r="A158" t="s">
        <v>25</v>
      </c>
      <c r="B158" s="33" t="s">
        <v>35</v>
      </c>
    </row>
    <row r="159" spans="1:2" x14ac:dyDescent="0.35">
      <c r="A159" t="s">
        <v>26</v>
      </c>
      <c r="B159" s="33">
        <v>1610000000</v>
      </c>
    </row>
    <row r="160" spans="1:2" x14ac:dyDescent="0.35">
      <c r="A160" t="s">
        <v>27</v>
      </c>
      <c r="B160" s="33">
        <v>3922000000</v>
      </c>
    </row>
    <row r="161" spans="1:2" x14ac:dyDescent="0.35">
      <c r="A161" t="s">
        <v>28</v>
      </c>
      <c r="B161" s="34">
        <v>0.08</v>
      </c>
    </row>
    <row r="163" spans="1:2" x14ac:dyDescent="0.35">
      <c r="A163" t="s">
        <v>37</v>
      </c>
    </row>
    <row r="164" spans="1:2" x14ac:dyDescent="0.35">
      <c r="A164" t="s">
        <v>23</v>
      </c>
      <c r="B164" s="33">
        <v>90805000000</v>
      </c>
    </row>
    <row r="165" spans="1:2" x14ac:dyDescent="0.35">
      <c r="A165" t="s">
        <v>24</v>
      </c>
      <c r="B165" s="33">
        <v>60521000000</v>
      </c>
    </row>
    <row r="166" spans="1:2" x14ac:dyDescent="0.35">
      <c r="A166" t="s">
        <v>25</v>
      </c>
      <c r="B166" s="33">
        <v>2163000000</v>
      </c>
    </row>
    <row r="167" spans="1:2" x14ac:dyDescent="0.35">
      <c r="A167" t="s">
        <v>26</v>
      </c>
      <c r="B167" s="33">
        <v>42779000000</v>
      </c>
    </row>
    <row r="168" spans="1:2" x14ac:dyDescent="0.35">
      <c r="A168" t="s">
        <v>27</v>
      </c>
      <c r="B168" s="33">
        <v>54724000000</v>
      </c>
    </row>
    <row r="169" spans="1:2" x14ac:dyDescent="0.35">
      <c r="A169" t="s">
        <v>28</v>
      </c>
      <c r="B169" s="34">
        <v>0.67</v>
      </c>
    </row>
    <row r="171" spans="1:2" x14ac:dyDescent="0.35">
      <c r="A171" t="s">
        <v>38</v>
      </c>
    </row>
    <row r="172" spans="1:2" x14ac:dyDescent="0.35">
      <c r="A172" t="s">
        <v>23</v>
      </c>
      <c r="B172" s="33">
        <v>19322000000</v>
      </c>
    </row>
    <row r="173" spans="1:2" x14ac:dyDescent="0.35">
      <c r="A173" t="s">
        <v>24</v>
      </c>
      <c r="B173" s="33">
        <v>19790000000</v>
      </c>
    </row>
    <row r="174" spans="1:2" x14ac:dyDescent="0.35">
      <c r="A174" t="s">
        <v>25</v>
      </c>
      <c r="B174" s="33">
        <v>16088000000</v>
      </c>
    </row>
    <row r="175" spans="1:2" x14ac:dyDescent="0.35">
      <c r="A175" t="s">
        <v>26</v>
      </c>
      <c r="B175" s="33">
        <v>3698000000</v>
      </c>
    </row>
    <row r="176" spans="1:2" x14ac:dyDescent="0.35">
      <c r="A176" t="s">
        <v>27</v>
      </c>
      <c r="B176" s="33" t="s">
        <v>35</v>
      </c>
    </row>
    <row r="177" spans="1:2" x14ac:dyDescent="0.35">
      <c r="A177" t="s">
        <v>28</v>
      </c>
      <c r="B177" s="34">
        <v>1.02</v>
      </c>
    </row>
    <row r="179" spans="1:2" x14ac:dyDescent="0.35">
      <c r="A179" t="s">
        <v>39</v>
      </c>
    </row>
    <row r="180" spans="1:2" x14ac:dyDescent="0.35">
      <c r="A180" t="s">
        <v>23</v>
      </c>
      <c r="B180" s="33">
        <v>265595000000</v>
      </c>
    </row>
    <row r="181" spans="1:2" x14ac:dyDescent="0.35">
      <c r="A181" t="s">
        <v>24</v>
      </c>
      <c r="B181" s="33">
        <v>146860000000</v>
      </c>
    </row>
    <row r="182" spans="1:2" x14ac:dyDescent="0.35">
      <c r="A182" t="s">
        <v>25</v>
      </c>
      <c r="B182" s="33">
        <v>20553000000</v>
      </c>
    </row>
    <row r="183" spans="1:2" x14ac:dyDescent="0.35">
      <c r="A183" t="s">
        <v>26</v>
      </c>
      <c r="B183" s="33">
        <v>81754000000</v>
      </c>
    </row>
    <row r="184" spans="1:2" x14ac:dyDescent="0.35">
      <c r="A184" t="s">
        <v>27</v>
      </c>
      <c r="B184" s="33">
        <v>113258000000</v>
      </c>
    </row>
    <row r="185" spans="1:2" x14ac:dyDescent="0.35">
      <c r="A185" t="s">
        <v>28</v>
      </c>
      <c r="B185" s="34">
        <v>0.55000000000000004</v>
      </c>
    </row>
    <row r="187" spans="1:2" x14ac:dyDescent="0.35">
      <c r="A187" t="s">
        <v>43</v>
      </c>
    </row>
    <row r="188" spans="1:2" x14ac:dyDescent="0.35">
      <c r="A188" t="s">
        <v>23</v>
      </c>
      <c r="B188" s="33">
        <v>36148000000</v>
      </c>
    </row>
    <row r="189" spans="1:2" x14ac:dyDescent="0.35">
      <c r="A189" t="s">
        <v>24</v>
      </c>
      <c r="B189" s="33">
        <v>193893000000</v>
      </c>
    </row>
    <row r="190" spans="1:2" x14ac:dyDescent="0.35">
      <c r="A190" t="s">
        <v>25</v>
      </c>
      <c r="B190" s="33" t="s">
        <v>35</v>
      </c>
    </row>
    <row r="191" spans="1:2" x14ac:dyDescent="0.35">
      <c r="A191" t="s">
        <v>26</v>
      </c>
      <c r="B191" s="33">
        <v>136162000000</v>
      </c>
    </row>
    <row r="192" spans="1:2" x14ac:dyDescent="0.35">
      <c r="A192" t="s">
        <v>27</v>
      </c>
      <c r="B192" s="33">
        <v>154562000000</v>
      </c>
    </row>
    <row r="193" spans="1:2" x14ac:dyDescent="0.35">
      <c r="A193" t="s">
        <v>28</v>
      </c>
      <c r="B193" s="34">
        <v>5.36</v>
      </c>
    </row>
    <row r="195" spans="1:2" x14ac:dyDescent="0.35">
      <c r="A195" t="s">
        <v>44</v>
      </c>
    </row>
    <row r="196" spans="1:2" x14ac:dyDescent="0.35">
      <c r="A196" t="s">
        <v>23</v>
      </c>
      <c r="B196" s="33">
        <v>343011000000</v>
      </c>
    </row>
    <row r="197" spans="1:2" x14ac:dyDescent="0.35">
      <c r="A197" t="s">
        <v>24</v>
      </c>
      <c r="B197" s="33" t="s">
        <v>35</v>
      </c>
    </row>
    <row r="198" spans="1:2" x14ac:dyDescent="0.35">
      <c r="A198" t="s">
        <v>25</v>
      </c>
      <c r="B198" s="33">
        <v>71516000000</v>
      </c>
    </row>
    <row r="199" spans="1:2" x14ac:dyDescent="0.35">
      <c r="A199" t="s">
        <v>26</v>
      </c>
      <c r="B199" s="33">
        <v>18352000000</v>
      </c>
    </row>
    <row r="200" spans="1:2" x14ac:dyDescent="0.35">
      <c r="A200" t="s">
        <v>27</v>
      </c>
      <c r="B200" s="33" t="s">
        <v>35</v>
      </c>
    </row>
    <row r="201" spans="1:2" x14ac:dyDescent="0.35">
      <c r="A201" t="s">
        <v>28</v>
      </c>
      <c r="B201" s="34" t="s">
        <v>35</v>
      </c>
    </row>
    <row r="203" spans="1:2" x14ac:dyDescent="0.35">
      <c r="A203" t="s">
        <v>45</v>
      </c>
    </row>
    <row r="204" spans="1:2" x14ac:dyDescent="0.35">
      <c r="A204" t="s">
        <v>23</v>
      </c>
      <c r="B204" s="33">
        <v>18881000000</v>
      </c>
    </row>
    <row r="205" spans="1:2" x14ac:dyDescent="0.35">
      <c r="A205" t="s">
        <v>24</v>
      </c>
      <c r="B205" s="33" t="s">
        <v>35</v>
      </c>
    </row>
    <row r="206" spans="1:2" x14ac:dyDescent="0.35">
      <c r="A206" t="s">
        <v>25</v>
      </c>
      <c r="B206" s="33">
        <v>1663000000</v>
      </c>
    </row>
    <row r="207" spans="1:2" x14ac:dyDescent="0.35">
      <c r="A207" t="s">
        <v>26</v>
      </c>
      <c r="B207" s="33">
        <v>3317000000</v>
      </c>
    </row>
    <row r="208" spans="1:2" x14ac:dyDescent="0.35">
      <c r="A208" t="s">
        <v>27</v>
      </c>
      <c r="B208" s="33">
        <v>2330000000</v>
      </c>
    </row>
    <row r="209" spans="1:2" x14ac:dyDescent="0.35">
      <c r="A209" t="s">
        <v>28</v>
      </c>
      <c r="B209" s="34" t="s">
        <v>35</v>
      </c>
    </row>
    <row r="211" spans="1:2" x14ac:dyDescent="0.35">
      <c r="A211" t="s">
        <v>46</v>
      </c>
    </row>
    <row r="212" spans="1:2" x14ac:dyDescent="0.35">
      <c r="A212" t="s">
        <v>23</v>
      </c>
      <c r="B212" s="33">
        <v>23664000000</v>
      </c>
    </row>
    <row r="213" spans="1:2" x14ac:dyDescent="0.35">
      <c r="A213" t="s">
        <v>24</v>
      </c>
      <c r="B213" s="33">
        <v>14787000000</v>
      </c>
    </row>
    <row r="214" spans="1:2" x14ac:dyDescent="0.35">
      <c r="A214" t="s">
        <v>25</v>
      </c>
      <c r="B214" s="33">
        <v>6704000000</v>
      </c>
    </row>
    <row r="215" spans="1:2" x14ac:dyDescent="0.35">
      <c r="A215" t="s">
        <v>26</v>
      </c>
      <c r="B215" s="33">
        <v>-1391000000</v>
      </c>
    </row>
    <row r="216" spans="1:2" x14ac:dyDescent="0.35">
      <c r="A216" t="s">
        <v>27</v>
      </c>
      <c r="B216" s="33">
        <v>10778000000</v>
      </c>
    </row>
    <row r="217" spans="1:2" x14ac:dyDescent="0.35">
      <c r="A217" t="s">
        <v>28</v>
      </c>
      <c r="B217" s="34">
        <v>0.62</v>
      </c>
    </row>
    <row r="219" spans="1:2" x14ac:dyDescent="0.35">
      <c r="A219" t="s">
        <v>47</v>
      </c>
    </row>
    <row r="220" spans="1:2" x14ac:dyDescent="0.35">
      <c r="A220" t="s">
        <v>23</v>
      </c>
      <c r="B220" s="33">
        <v>30818000000</v>
      </c>
    </row>
    <row r="221" spans="1:2" x14ac:dyDescent="0.35">
      <c r="A221" t="s">
        <v>24</v>
      </c>
      <c r="B221" s="33">
        <v>2786000000</v>
      </c>
    </row>
    <row r="222" spans="1:2" x14ac:dyDescent="0.35">
      <c r="A222" t="s">
        <v>25</v>
      </c>
      <c r="B222" s="33">
        <v>3287000000</v>
      </c>
    </row>
    <row r="223" spans="1:2" x14ac:dyDescent="0.35">
      <c r="A223" t="s">
        <v>26</v>
      </c>
      <c r="B223" s="33">
        <v>4411000000</v>
      </c>
    </row>
    <row r="224" spans="1:2" x14ac:dyDescent="0.35">
      <c r="A224" t="s">
        <v>27</v>
      </c>
      <c r="B224" s="33" t="s">
        <v>35</v>
      </c>
    </row>
    <row r="225" spans="1:2" x14ac:dyDescent="0.35">
      <c r="A225" t="s">
        <v>28</v>
      </c>
      <c r="B225" s="34">
        <v>0.09</v>
      </c>
    </row>
    <row r="227" spans="1:2" x14ac:dyDescent="0.35">
      <c r="A227" t="s">
        <v>48</v>
      </c>
    </row>
    <row r="228" spans="1:2" x14ac:dyDescent="0.35">
      <c r="A228" t="s">
        <v>23</v>
      </c>
      <c r="B228" s="33">
        <v>31519000000</v>
      </c>
    </row>
    <row r="229" spans="1:2" x14ac:dyDescent="0.35">
      <c r="A229" t="s">
        <v>24</v>
      </c>
      <c r="B229" s="33">
        <v>18008000000</v>
      </c>
    </row>
    <row r="230" spans="1:2" x14ac:dyDescent="0.35">
      <c r="A230" t="s">
        <v>25</v>
      </c>
      <c r="B230" s="33">
        <v>9913000000</v>
      </c>
    </row>
    <row r="231" spans="1:2" x14ac:dyDescent="0.35">
      <c r="A231" t="s">
        <v>26</v>
      </c>
      <c r="B231" s="33">
        <v>6071000000</v>
      </c>
    </row>
    <row r="232" spans="1:2" x14ac:dyDescent="0.35">
      <c r="A232" t="s">
        <v>27</v>
      </c>
      <c r="B232" s="33">
        <v>7163000000</v>
      </c>
    </row>
    <row r="233" spans="1:2" x14ac:dyDescent="0.35">
      <c r="A233" t="s">
        <v>28</v>
      </c>
      <c r="B233" s="34">
        <v>0.56999999999999995</v>
      </c>
    </row>
    <row r="235" spans="1:2" x14ac:dyDescent="0.35">
      <c r="A235" t="s">
        <v>49</v>
      </c>
    </row>
    <row r="236" spans="1:2" x14ac:dyDescent="0.35">
      <c r="A236" t="s">
        <v>23</v>
      </c>
      <c r="B236" s="33">
        <v>12298000000</v>
      </c>
    </row>
    <row r="237" spans="1:2" x14ac:dyDescent="0.35">
      <c r="A237" t="s">
        <v>24</v>
      </c>
      <c r="B237" s="33" t="s">
        <v>35</v>
      </c>
    </row>
    <row r="238" spans="1:2" x14ac:dyDescent="0.35">
      <c r="A238" t="s">
        <v>25</v>
      </c>
      <c r="B238" s="33">
        <v>2212000000</v>
      </c>
    </row>
    <row r="239" spans="1:2" x14ac:dyDescent="0.35">
      <c r="A239" t="s">
        <v>26</v>
      </c>
      <c r="B239" s="33">
        <v>-1033000000</v>
      </c>
    </row>
    <row r="240" spans="1:2" x14ac:dyDescent="0.35">
      <c r="A240" t="s">
        <v>27</v>
      </c>
      <c r="B240" s="33">
        <v>4221000000</v>
      </c>
    </row>
    <row r="241" spans="1:2" x14ac:dyDescent="0.35">
      <c r="A241" t="s">
        <v>28</v>
      </c>
      <c r="B241" s="34" t="s">
        <v>35</v>
      </c>
    </row>
    <row r="243" spans="1:2" x14ac:dyDescent="0.35">
      <c r="A243" t="s">
        <v>50</v>
      </c>
    </row>
    <row r="244" spans="1:2" x14ac:dyDescent="0.35">
      <c r="A244" t="s">
        <v>23</v>
      </c>
      <c r="B244" s="33">
        <v>91141000000</v>
      </c>
    </row>
    <row r="245" spans="1:2" x14ac:dyDescent="0.35">
      <c r="A245" t="s">
        <v>24</v>
      </c>
      <c r="B245" s="33">
        <v>-3135000000</v>
      </c>
    </row>
    <row r="246" spans="1:2" x14ac:dyDescent="0.35">
      <c r="A246" t="s">
        <v>25</v>
      </c>
      <c r="B246" s="33">
        <v>8554000000</v>
      </c>
    </row>
    <row r="247" spans="1:2" x14ac:dyDescent="0.35">
      <c r="A247" t="s">
        <v>26</v>
      </c>
      <c r="B247" s="33">
        <v>12969000000</v>
      </c>
    </row>
    <row r="248" spans="1:2" x14ac:dyDescent="0.35">
      <c r="A248" t="s">
        <v>27</v>
      </c>
      <c r="B248" s="33">
        <v>12546000000</v>
      </c>
    </row>
    <row r="249" spans="1:2" x14ac:dyDescent="0.35">
      <c r="A249" t="s">
        <v>28</v>
      </c>
      <c r="B249" s="34">
        <v>-0.03</v>
      </c>
    </row>
    <row r="251" spans="1:2" x14ac:dyDescent="0.35">
      <c r="A251" t="s">
        <v>51</v>
      </c>
    </row>
    <row r="252" spans="1:2" x14ac:dyDescent="0.35">
      <c r="A252" t="s">
        <v>23</v>
      </c>
      <c r="B252" s="33">
        <v>3913000000</v>
      </c>
    </row>
    <row r="253" spans="1:2" x14ac:dyDescent="0.35">
      <c r="A253" t="s">
        <v>24</v>
      </c>
      <c r="B253" s="33">
        <v>6795000000</v>
      </c>
    </row>
    <row r="254" spans="1:2" x14ac:dyDescent="0.35">
      <c r="A254" t="s">
        <v>25</v>
      </c>
      <c r="B254" s="33">
        <v>1877000000</v>
      </c>
    </row>
    <row r="255" spans="1:2" x14ac:dyDescent="0.35">
      <c r="A255" t="s">
        <v>26</v>
      </c>
      <c r="B255" s="33">
        <v>2950000000</v>
      </c>
    </row>
    <row r="256" spans="1:2" x14ac:dyDescent="0.35">
      <c r="A256" t="s">
        <v>27</v>
      </c>
      <c r="B256" s="33">
        <v>2517000000</v>
      </c>
    </row>
    <row r="257" spans="1:2" x14ac:dyDescent="0.35">
      <c r="A257" t="s">
        <v>28</v>
      </c>
      <c r="B257" s="34">
        <v>1.74</v>
      </c>
    </row>
    <row r="259" spans="1:2" x14ac:dyDescent="0.35">
      <c r="A259" t="s">
        <v>40</v>
      </c>
    </row>
    <row r="260" spans="1:2" x14ac:dyDescent="0.35">
      <c r="A260" t="s">
        <v>23</v>
      </c>
      <c r="B260" s="33">
        <v>61473000000</v>
      </c>
    </row>
    <row r="261" spans="1:2" x14ac:dyDescent="0.35">
      <c r="A261" t="s">
        <v>24</v>
      </c>
      <c r="B261" s="33" t="s">
        <v>35</v>
      </c>
    </row>
    <row r="262" spans="1:2" x14ac:dyDescent="0.35">
      <c r="A262" t="s">
        <v>25</v>
      </c>
      <c r="B262" s="33">
        <v>14090000000</v>
      </c>
    </row>
    <row r="263" spans="1:2" x14ac:dyDescent="0.35">
      <c r="A263" t="s">
        <v>26</v>
      </c>
      <c r="B263" s="33">
        <v>18812000000</v>
      </c>
    </row>
    <row r="264" spans="1:2" x14ac:dyDescent="0.35">
      <c r="A264" t="s">
        <v>27</v>
      </c>
      <c r="B264" s="33">
        <v>39519000000</v>
      </c>
    </row>
    <row r="265" spans="1:2" x14ac:dyDescent="0.35">
      <c r="A265" t="s">
        <v>28</v>
      </c>
      <c r="B265" s="34" t="s">
        <v>35</v>
      </c>
    </row>
    <row r="267" spans="1:2" x14ac:dyDescent="0.35">
      <c r="A267" t="s">
        <v>36</v>
      </c>
    </row>
    <row r="268" spans="1:2" x14ac:dyDescent="0.35">
      <c r="A268" t="s">
        <v>23</v>
      </c>
      <c r="B268" s="33">
        <v>52871000000</v>
      </c>
    </row>
    <row r="269" spans="1:2" x14ac:dyDescent="0.35">
      <c r="A269" t="s">
        <v>24</v>
      </c>
      <c r="B269" s="33">
        <v>28584000000</v>
      </c>
    </row>
    <row r="270" spans="1:2" x14ac:dyDescent="0.35">
      <c r="A270" t="s">
        <v>25</v>
      </c>
      <c r="B270" s="33">
        <v>15294000000</v>
      </c>
    </row>
    <row r="271" spans="1:2" x14ac:dyDescent="0.35">
      <c r="A271" t="s">
        <v>26</v>
      </c>
      <c r="B271" s="33">
        <v>8968000000</v>
      </c>
    </row>
    <row r="272" spans="1:2" x14ac:dyDescent="0.35">
      <c r="A272" t="s">
        <v>27</v>
      </c>
      <c r="B272" s="33">
        <v>12912000000</v>
      </c>
    </row>
    <row r="273" spans="1:2" x14ac:dyDescent="0.35">
      <c r="A273" t="s">
        <v>28</v>
      </c>
      <c r="B273" s="34">
        <v>0.54</v>
      </c>
    </row>
    <row r="275" spans="1:2" x14ac:dyDescent="0.35">
      <c r="A275" t="s">
        <v>41</v>
      </c>
    </row>
    <row r="276" spans="1:2" x14ac:dyDescent="0.35">
      <c r="A276" t="s">
        <v>23</v>
      </c>
      <c r="B276" s="33">
        <v>41831000000</v>
      </c>
    </row>
    <row r="277" spans="1:2" x14ac:dyDescent="0.35">
      <c r="A277" t="s">
        <v>24</v>
      </c>
      <c r="B277" s="33">
        <v>7031000000</v>
      </c>
    </row>
    <row r="278" spans="1:2" x14ac:dyDescent="0.35">
      <c r="A278" t="s">
        <v>25</v>
      </c>
      <c r="B278" s="33">
        <v>2617000000</v>
      </c>
    </row>
    <row r="279" spans="1:2" x14ac:dyDescent="0.35">
      <c r="A279" t="s">
        <v>26</v>
      </c>
      <c r="B279" s="33">
        <v>4696000000</v>
      </c>
    </row>
    <row r="280" spans="1:2" x14ac:dyDescent="0.35">
      <c r="A280" t="s">
        <v>27</v>
      </c>
      <c r="B280" s="33">
        <v>4622000000</v>
      </c>
    </row>
    <row r="281" spans="1:2" x14ac:dyDescent="0.35">
      <c r="A281" t="s">
        <v>28</v>
      </c>
      <c r="B281" s="34">
        <v>0.17</v>
      </c>
    </row>
    <row r="283" spans="1:2" x14ac:dyDescent="0.35">
      <c r="A283" t="s">
        <v>42</v>
      </c>
    </row>
    <row r="284" spans="1:2" x14ac:dyDescent="0.35">
      <c r="A284" t="s">
        <v>23</v>
      </c>
      <c r="B284" s="33">
        <v>36118000000</v>
      </c>
    </row>
    <row r="285" spans="1:2" x14ac:dyDescent="0.35">
      <c r="A285" t="s">
        <v>24</v>
      </c>
      <c r="B285" s="33">
        <v>3057000000</v>
      </c>
    </row>
    <row r="286" spans="1:2" x14ac:dyDescent="0.35">
      <c r="A286" t="s">
        <v>25</v>
      </c>
      <c r="B286" s="33" t="s">
        <v>35</v>
      </c>
    </row>
    <row r="287" spans="1:2" x14ac:dyDescent="0.35">
      <c r="A287" t="s">
        <v>26</v>
      </c>
      <c r="B287" s="33">
        <v>1610000000</v>
      </c>
    </row>
    <row r="288" spans="1:2" x14ac:dyDescent="0.35">
      <c r="A288" t="s">
        <v>27</v>
      </c>
      <c r="B288" s="33">
        <v>3922000000</v>
      </c>
    </row>
    <row r="289" spans="1:2" x14ac:dyDescent="0.35">
      <c r="A289" t="s">
        <v>28</v>
      </c>
      <c r="B289" s="34">
        <v>0.08</v>
      </c>
    </row>
    <row r="291" spans="1:2" x14ac:dyDescent="0.35">
      <c r="A291" t="s">
        <v>37</v>
      </c>
    </row>
    <row r="292" spans="1:2" x14ac:dyDescent="0.35">
      <c r="A292" t="s">
        <v>23</v>
      </c>
      <c r="B292" s="33">
        <v>90805000000</v>
      </c>
    </row>
    <row r="293" spans="1:2" x14ac:dyDescent="0.35">
      <c r="A293" t="s">
        <v>24</v>
      </c>
      <c r="B293" s="33">
        <v>60521000000</v>
      </c>
    </row>
    <row r="294" spans="1:2" x14ac:dyDescent="0.35">
      <c r="A294" t="s">
        <v>25</v>
      </c>
      <c r="B294" s="33">
        <v>2163000000</v>
      </c>
    </row>
    <row r="295" spans="1:2" x14ac:dyDescent="0.35">
      <c r="A295" t="s">
        <v>26</v>
      </c>
      <c r="B295" s="33">
        <v>42779000000</v>
      </c>
    </row>
    <row r="296" spans="1:2" x14ac:dyDescent="0.35">
      <c r="A296" t="s">
        <v>27</v>
      </c>
      <c r="B296" s="33">
        <v>54724000000</v>
      </c>
    </row>
    <row r="297" spans="1:2" x14ac:dyDescent="0.35">
      <c r="A297" t="s">
        <v>28</v>
      </c>
      <c r="B297" s="34">
        <v>0.67</v>
      </c>
    </row>
    <row r="299" spans="1:2" x14ac:dyDescent="0.35">
      <c r="A299" t="s">
        <v>38</v>
      </c>
    </row>
    <row r="300" spans="1:2" x14ac:dyDescent="0.35">
      <c r="A300" t="s">
        <v>23</v>
      </c>
      <c r="B300" s="33">
        <v>19322000000</v>
      </c>
    </row>
    <row r="301" spans="1:2" x14ac:dyDescent="0.35">
      <c r="A301" t="s">
        <v>24</v>
      </c>
      <c r="B301" s="33">
        <v>19790000000</v>
      </c>
    </row>
    <row r="302" spans="1:2" x14ac:dyDescent="0.35">
      <c r="A302" t="s">
        <v>25</v>
      </c>
      <c r="B302" s="33">
        <v>16088000000</v>
      </c>
    </row>
    <row r="303" spans="1:2" x14ac:dyDescent="0.35">
      <c r="A303" t="s">
        <v>26</v>
      </c>
      <c r="B303" s="33">
        <v>3698000000</v>
      </c>
    </row>
    <row r="304" spans="1:2" x14ac:dyDescent="0.35">
      <c r="A304" t="s">
        <v>27</v>
      </c>
      <c r="B304" s="33" t="s">
        <v>35</v>
      </c>
    </row>
    <row r="305" spans="1:2" x14ac:dyDescent="0.35">
      <c r="A305" t="s">
        <v>28</v>
      </c>
      <c r="B305" s="34">
        <v>1.02</v>
      </c>
    </row>
    <row r="307" spans="1:2" x14ac:dyDescent="0.35">
      <c r="A307" t="s">
        <v>39</v>
      </c>
    </row>
    <row r="308" spans="1:2" x14ac:dyDescent="0.35">
      <c r="A308" t="s">
        <v>23</v>
      </c>
      <c r="B308" s="33">
        <v>265595000000</v>
      </c>
    </row>
    <row r="309" spans="1:2" x14ac:dyDescent="0.35">
      <c r="A309" t="s">
        <v>24</v>
      </c>
      <c r="B309" s="33">
        <v>146860000000</v>
      </c>
    </row>
    <row r="310" spans="1:2" x14ac:dyDescent="0.35">
      <c r="A310" t="s">
        <v>25</v>
      </c>
      <c r="B310" s="33">
        <v>20553000000</v>
      </c>
    </row>
    <row r="311" spans="1:2" x14ac:dyDescent="0.35">
      <c r="A311" t="s">
        <v>26</v>
      </c>
      <c r="B311" s="33">
        <v>81754000000</v>
      </c>
    </row>
    <row r="312" spans="1:2" x14ac:dyDescent="0.35">
      <c r="A312" t="s">
        <v>27</v>
      </c>
      <c r="B312" s="33">
        <v>113258000000</v>
      </c>
    </row>
    <row r="313" spans="1:2" x14ac:dyDescent="0.35">
      <c r="A313" t="s">
        <v>28</v>
      </c>
      <c r="B313" s="34">
        <v>0.55000000000000004</v>
      </c>
    </row>
    <row r="315" spans="1:2" x14ac:dyDescent="0.35">
      <c r="A315" t="s">
        <v>43</v>
      </c>
    </row>
    <row r="316" spans="1:2" x14ac:dyDescent="0.35">
      <c r="A316" t="s">
        <v>23</v>
      </c>
      <c r="B316" s="33">
        <v>36148000000</v>
      </c>
    </row>
    <row r="317" spans="1:2" x14ac:dyDescent="0.35">
      <c r="A317" t="s">
        <v>24</v>
      </c>
      <c r="B317" s="33">
        <v>193893000000</v>
      </c>
    </row>
    <row r="318" spans="1:2" x14ac:dyDescent="0.35">
      <c r="A318" t="s">
        <v>25</v>
      </c>
      <c r="B318" s="33" t="s">
        <v>35</v>
      </c>
    </row>
    <row r="319" spans="1:2" x14ac:dyDescent="0.35">
      <c r="A319" t="s">
        <v>26</v>
      </c>
      <c r="B319" s="33">
        <v>136162000000</v>
      </c>
    </row>
    <row r="320" spans="1:2" x14ac:dyDescent="0.35">
      <c r="A320" t="s">
        <v>27</v>
      </c>
      <c r="B320" s="33">
        <v>154562000000</v>
      </c>
    </row>
    <row r="321" spans="1:2" x14ac:dyDescent="0.35">
      <c r="A321" t="s">
        <v>28</v>
      </c>
      <c r="B321" s="34">
        <v>5.36</v>
      </c>
    </row>
    <row r="323" spans="1:2" x14ac:dyDescent="0.35">
      <c r="A323" t="s">
        <v>44</v>
      </c>
    </row>
    <row r="324" spans="1:2" x14ac:dyDescent="0.35">
      <c r="A324" t="s">
        <v>23</v>
      </c>
      <c r="B324" s="33">
        <v>343011000000</v>
      </c>
    </row>
    <row r="325" spans="1:2" x14ac:dyDescent="0.35">
      <c r="A325" t="s">
        <v>24</v>
      </c>
      <c r="B325" s="33" t="s">
        <v>35</v>
      </c>
    </row>
    <row r="326" spans="1:2" x14ac:dyDescent="0.35">
      <c r="A326" t="s">
        <v>25</v>
      </c>
      <c r="B326" s="33">
        <v>71516000000</v>
      </c>
    </row>
    <row r="327" spans="1:2" x14ac:dyDescent="0.35">
      <c r="A327" t="s">
        <v>26</v>
      </c>
      <c r="B327" s="33">
        <v>18352000000</v>
      </c>
    </row>
    <row r="328" spans="1:2" x14ac:dyDescent="0.35">
      <c r="A328" t="s">
        <v>27</v>
      </c>
      <c r="B328" s="33" t="s">
        <v>35</v>
      </c>
    </row>
    <row r="329" spans="1:2" x14ac:dyDescent="0.35">
      <c r="A329" t="s">
        <v>28</v>
      </c>
      <c r="B329" s="34" t="s">
        <v>35</v>
      </c>
    </row>
    <row r="331" spans="1:2" x14ac:dyDescent="0.35">
      <c r="A331" t="s">
        <v>45</v>
      </c>
    </row>
    <row r="332" spans="1:2" x14ac:dyDescent="0.35">
      <c r="A332" t="s">
        <v>23</v>
      </c>
      <c r="B332" s="33">
        <v>18881000000</v>
      </c>
    </row>
    <row r="333" spans="1:2" x14ac:dyDescent="0.35">
      <c r="A333" t="s">
        <v>24</v>
      </c>
      <c r="B333" s="33" t="s">
        <v>35</v>
      </c>
    </row>
    <row r="334" spans="1:2" x14ac:dyDescent="0.35">
      <c r="A334" t="s">
        <v>25</v>
      </c>
      <c r="B334" s="33">
        <v>1663000000</v>
      </c>
    </row>
    <row r="335" spans="1:2" x14ac:dyDescent="0.35">
      <c r="A335" t="s">
        <v>26</v>
      </c>
      <c r="B335" s="33">
        <v>3317000000</v>
      </c>
    </row>
    <row r="336" spans="1:2" x14ac:dyDescent="0.35">
      <c r="A336" t="s">
        <v>27</v>
      </c>
      <c r="B336" s="33">
        <v>2330000000</v>
      </c>
    </row>
    <row r="337" spans="1:2" x14ac:dyDescent="0.35">
      <c r="A337" t="s">
        <v>28</v>
      </c>
      <c r="B337" s="34" t="s">
        <v>35</v>
      </c>
    </row>
    <row r="339" spans="1:2" x14ac:dyDescent="0.35">
      <c r="A339" t="s">
        <v>46</v>
      </c>
    </row>
    <row r="340" spans="1:2" x14ac:dyDescent="0.35">
      <c r="A340" t="s">
        <v>23</v>
      </c>
      <c r="B340" s="33">
        <v>23664000000</v>
      </c>
    </row>
    <row r="341" spans="1:2" x14ac:dyDescent="0.35">
      <c r="A341" t="s">
        <v>24</v>
      </c>
      <c r="B341" s="33">
        <v>14787000000</v>
      </c>
    </row>
    <row r="342" spans="1:2" x14ac:dyDescent="0.35">
      <c r="A342" t="s">
        <v>25</v>
      </c>
      <c r="B342" s="33">
        <v>6704000000</v>
      </c>
    </row>
    <row r="343" spans="1:2" x14ac:dyDescent="0.35">
      <c r="A343" t="s">
        <v>26</v>
      </c>
      <c r="B343" s="33">
        <v>-1391000000</v>
      </c>
    </row>
    <row r="344" spans="1:2" x14ac:dyDescent="0.35">
      <c r="A344" t="s">
        <v>27</v>
      </c>
      <c r="B344" s="33">
        <v>10778000000</v>
      </c>
    </row>
    <row r="345" spans="1:2" x14ac:dyDescent="0.35">
      <c r="A345" t="s">
        <v>28</v>
      </c>
      <c r="B345" s="34">
        <v>0.62</v>
      </c>
    </row>
    <row r="347" spans="1:2" x14ac:dyDescent="0.35">
      <c r="A347" t="s">
        <v>47</v>
      </c>
    </row>
    <row r="348" spans="1:2" x14ac:dyDescent="0.35">
      <c r="A348" t="s">
        <v>23</v>
      </c>
      <c r="B348" s="33">
        <v>30818000000</v>
      </c>
    </row>
    <row r="349" spans="1:2" x14ac:dyDescent="0.35">
      <c r="A349" t="s">
        <v>24</v>
      </c>
      <c r="B349" s="33">
        <v>2786000000</v>
      </c>
    </row>
    <row r="350" spans="1:2" x14ac:dyDescent="0.35">
      <c r="A350" t="s">
        <v>25</v>
      </c>
      <c r="B350" s="33">
        <v>3287000000</v>
      </c>
    </row>
    <row r="351" spans="1:2" x14ac:dyDescent="0.35">
      <c r="A351" t="s">
        <v>26</v>
      </c>
      <c r="B351" s="33">
        <v>4411000000</v>
      </c>
    </row>
    <row r="352" spans="1:2" x14ac:dyDescent="0.35">
      <c r="A352" t="s">
        <v>27</v>
      </c>
      <c r="B352" s="33" t="s">
        <v>35</v>
      </c>
    </row>
    <row r="353" spans="1:2" x14ac:dyDescent="0.35">
      <c r="A353" t="s">
        <v>28</v>
      </c>
      <c r="B353" s="34">
        <v>0.09</v>
      </c>
    </row>
    <row r="355" spans="1:2" x14ac:dyDescent="0.35">
      <c r="A355" t="s">
        <v>48</v>
      </c>
    </row>
    <row r="356" spans="1:2" x14ac:dyDescent="0.35">
      <c r="A356" t="s">
        <v>23</v>
      </c>
      <c r="B356" s="33">
        <v>31519000000</v>
      </c>
    </row>
    <row r="357" spans="1:2" x14ac:dyDescent="0.35">
      <c r="A357" t="s">
        <v>24</v>
      </c>
      <c r="B357" s="33">
        <v>18008000000</v>
      </c>
    </row>
    <row r="358" spans="1:2" x14ac:dyDescent="0.35">
      <c r="A358" t="s">
        <v>25</v>
      </c>
      <c r="B358" s="33">
        <v>9913000000</v>
      </c>
    </row>
    <row r="359" spans="1:2" x14ac:dyDescent="0.35">
      <c r="A359" t="s">
        <v>26</v>
      </c>
      <c r="B359" s="33">
        <v>6071000000</v>
      </c>
    </row>
    <row r="360" spans="1:2" x14ac:dyDescent="0.35">
      <c r="A360" t="s">
        <v>27</v>
      </c>
      <c r="B360" s="33">
        <v>7163000000</v>
      </c>
    </row>
    <row r="361" spans="1:2" x14ac:dyDescent="0.35">
      <c r="A361" t="s">
        <v>28</v>
      </c>
      <c r="B361" s="34">
        <v>0.56999999999999995</v>
      </c>
    </row>
    <row r="363" spans="1:2" x14ac:dyDescent="0.35">
      <c r="A363" t="s">
        <v>49</v>
      </c>
    </row>
    <row r="364" spans="1:2" x14ac:dyDescent="0.35">
      <c r="A364" t="s">
        <v>23</v>
      </c>
      <c r="B364" s="33">
        <v>12298000000</v>
      </c>
    </row>
    <row r="365" spans="1:2" x14ac:dyDescent="0.35">
      <c r="A365" t="s">
        <v>24</v>
      </c>
      <c r="B365" s="33" t="s">
        <v>35</v>
      </c>
    </row>
    <row r="366" spans="1:2" x14ac:dyDescent="0.35">
      <c r="A366" t="s">
        <v>25</v>
      </c>
      <c r="B366" s="33">
        <v>2212000000</v>
      </c>
    </row>
    <row r="367" spans="1:2" x14ac:dyDescent="0.35">
      <c r="A367" t="s">
        <v>26</v>
      </c>
      <c r="B367" s="33">
        <v>-1033000000</v>
      </c>
    </row>
    <row r="368" spans="1:2" x14ac:dyDescent="0.35">
      <c r="A368" t="s">
        <v>27</v>
      </c>
      <c r="B368" s="33">
        <v>4221000000</v>
      </c>
    </row>
    <row r="369" spans="1:2" x14ac:dyDescent="0.35">
      <c r="A369" t="s">
        <v>28</v>
      </c>
      <c r="B369" s="34" t="s">
        <v>35</v>
      </c>
    </row>
    <row r="371" spans="1:2" x14ac:dyDescent="0.35">
      <c r="A371" t="s">
        <v>50</v>
      </c>
    </row>
    <row r="372" spans="1:2" x14ac:dyDescent="0.35">
      <c r="A372" t="s">
        <v>23</v>
      </c>
      <c r="B372" s="33">
        <v>91141000000</v>
      </c>
    </row>
    <row r="373" spans="1:2" x14ac:dyDescent="0.35">
      <c r="A373" t="s">
        <v>24</v>
      </c>
      <c r="B373" s="33">
        <v>-3135000000</v>
      </c>
    </row>
    <row r="374" spans="1:2" x14ac:dyDescent="0.35">
      <c r="A374" t="s">
        <v>25</v>
      </c>
      <c r="B374" s="33">
        <v>8554000000</v>
      </c>
    </row>
    <row r="375" spans="1:2" x14ac:dyDescent="0.35">
      <c r="A375" t="s">
        <v>26</v>
      </c>
      <c r="B375" s="33">
        <v>12969000000</v>
      </c>
    </row>
    <row r="376" spans="1:2" x14ac:dyDescent="0.35">
      <c r="A376" t="s">
        <v>27</v>
      </c>
      <c r="B376" s="33">
        <v>12546000000</v>
      </c>
    </row>
    <row r="377" spans="1:2" x14ac:dyDescent="0.35">
      <c r="A377" t="s">
        <v>28</v>
      </c>
      <c r="B377" s="34">
        <v>-0.03</v>
      </c>
    </row>
    <row r="379" spans="1:2" x14ac:dyDescent="0.35">
      <c r="A379" t="s">
        <v>51</v>
      </c>
    </row>
    <row r="380" spans="1:2" x14ac:dyDescent="0.35">
      <c r="A380" t="s">
        <v>23</v>
      </c>
      <c r="B380" s="33">
        <v>3913000000</v>
      </c>
    </row>
    <row r="381" spans="1:2" x14ac:dyDescent="0.35">
      <c r="A381" t="s">
        <v>24</v>
      </c>
      <c r="B381" s="33">
        <v>6795000000</v>
      </c>
    </row>
    <row r="382" spans="1:2" x14ac:dyDescent="0.35">
      <c r="A382" t="s">
        <v>25</v>
      </c>
      <c r="B382" s="33">
        <v>1877000000</v>
      </c>
    </row>
    <row r="383" spans="1:2" x14ac:dyDescent="0.35">
      <c r="A383" t="s">
        <v>26</v>
      </c>
      <c r="B383" s="33">
        <v>2950000000</v>
      </c>
    </row>
    <row r="384" spans="1:2" x14ac:dyDescent="0.35">
      <c r="A384" t="s">
        <v>27</v>
      </c>
      <c r="B384" s="33">
        <v>2517000000</v>
      </c>
    </row>
    <row r="385" spans="1:2" x14ac:dyDescent="0.35">
      <c r="A385" t="s">
        <v>28</v>
      </c>
      <c r="B385" s="34">
        <v>1.74</v>
      </c>
    </row>
    <row r="386" spans="1:2" x14ac:dyDescent="0.35">
      <c r="B386" s="33"/>
    </row>
    <row r="387" spans="1:2" x14ac:dyDescent="0.35">
      <c r="A387" t="s">
        <v>40</v>
      </c>
      <c r="B387" s="33"/>
    </row>
    <row r="388" spans="1:2" x14ac:dyDescent="0.35">
      <c r="A388" t="s">
        <v>23</v>
      </c>
      <c r="B388" s="33">
        <v>61473000000</v>
      </c>
    </row>
    <row r="389" spans="1:2" x14ac:dyDescent="0.35">
      <c r="A389" t="s">
        <v>24</v>
      </c>
      <c r="B389" s="33" t="s">
        <v>35</v>
      </c>
    </row>
    <row r="390" spans="1:2" x14ac:dyDescent="0.35">
      <c r="A390" t="s">
        <v>25</v>
      </c>
      <c r="B390" s="33">
        <v>14090000000</v>
      </c>
    </row>
    <row r="391" spans="1:2" x14ac:dyDescent="0.35">
      <c r="A391" t="s">
        <v>26</v>
      </c>
      <c r="B391" s="33">
        <v>18812000000</v>
      </c>
    </row>
    <row r="392" spans="1:2" x14ac:dyDescent="0.35">
      <c r="A392" t="s">
        <v>27</v>
      </c>
      <c r="B392" s="33">
        <v>39519000000</v>
      </c>
    </row>
    <row r="393" spans="1:2" x14ac:dyDescent="0.35">
      <c r="A393" t="s">
        <v>28</v>
      </c>
      <c r="B393" s="34" t="s">
        <v>35</v>
      </c>
    </row>
    <row r="394" spans="1:2" x14ac:dyDescent="0.35">
      <c r="B394" s="33"/>
    </row>
    <row r="395" spans="1:2" x14ac:dyDescent="0.35">
      <c r="A395" t="s">
        <v>36</v>
      </c>
    </row>
    <row r="396" spans="1:2" x14ac:dyDescent="0.35">
      <c r="A396" t="s">
        <v>23</v>
      </c>
      <c r="B396" s="33">
        <v>52871000000</v>
      </c>
    </row>
    <row r="397" spans="1:2" x14ac:dyDescent="0.35">
      <c r="A397" t="s">
        <v>24</v>
      </c>
      <c r="B397" s="33">
        <v>28584000000</v>
      </c>
    </row>
    <row r="398" spans="1:2" x14ac:dyDescent="0.35">
      <c r="A398" t="s">
        <v>25</v>
      </c>
      <c r="B398" s="33">
        <v>15294000000</v>
      </c>
    </row>
    <row r="399" spans="1:2" x14ac:dyDescent="0.35">
      <c r="A399" t="s">
        <v>26</v>
      </c>
      <c r="B399" s="33">
        <v>8968000000</v>
      </c>
    </row>
    <row r="400" spans="1:2" x14ac:dyDescent="0.35">
      <c r="A400" t="s">
        <v>27</v>
      </c>
      <c r="B400" s="33">
        <v>12912000000</v>
      </c>
    </row>
    <row r="401" spans="1:2" x14ac:dyDescent="0.35">
      <c r="A401" t="s">
        <v>28</v>
      </c>
      <c r="B401" s="34">
        <v>0.54</v>
      </c>
    </row>
    <row r="402" spans="1:2" x14ac:dyDescent="0.35">
      <c r="B402" s="33"/>
    </row>
    <row r="403" spans="1:2" x14ac:dyDescent="0.35">
      <c r="A403" t="s">
        <v>41</v>
      </c>
      <c r="B403" s="33"/>
    </row>
    <row r="404" spans="1:2" x14ac:dyDescent="0.35">
      <c r="A404" t="s">
        <v>23</v>
      </c>
      <c r="B404" s="33">
        <v>41831000000</v>
      </c>
    </row>
    <row r="405" spans="1:2" x14ac:dyDescent="0.35">
      <c r="A405" t="s">
        <v>24</v>
      </c>
      <c r="B405" s="33">
        <v>7031000000</v>
      </c>
    </row>
    <row r="406" spans="1:2" x14ac:dyDescent="0.35">
      <c r="A406" t="s">
        <v>25</v>
      </c>
      <c r="B406" s="33">
        <v>2617000000</v>
      </c>
    </row>
    <row r="407" spans="1:2" x14ac:dyDescent="0.35">
      <c r="A407" t="s">
        <v>26</v>
      </c>
      <c r="B407" s="33">
        <v>4696000000</v>
      </c>
    </row>
    <row r="408" spans="1:2" x14ac:dyDescent="0.35">
      <c r="A408" t="s">
        <v>27</v>
      </c>
      <c r="B408" s="33">
        <v>4622000000</v>
      </c>
    </row>
    <row r="409" spans="1:2" x14ac:dyDescent="0.35">
      <c r="A409" t="s">
        <v>28</v>
      </c>
      <c r="B409" s="34">
        <v>0.17</v>
      </c>
    </row>
    <row r="410" spans="1:2" x14ac:dyDescent="0.35">
      <c r="B410" s="33"/>
    </row>
    <row r="411" spans="1:2" x14ac:dyDescent="0.35">
      <c r="A411" t="s">
        <v>42</v>
      </c>
      <c r="B411" s="33"/>
    </row>
    <row r="412" spans="1:2" x14ac:dyDescent="0.35">
      <c r="A412" t="s">
        <v>23</v>
      </c>
      <c r="B412" s="33">
        <v>36118000000</v>
      </c>
    </row>
    <row r="413" spans="1:2" x14ac:dyDescent="0.35">
      <c r="A413" t="s">
        <v>24</v>
      </c>
      <c r="B413" s="33">
        <v>3057000000</v>
      </c>
    </row>
    <row r="414" spans="1:2" x14ac:dyDescent="0.35">
      <c r="A414" t="s">
        <v>25</v>
      </c>
      <c r="B414" s="33" t="s">
        <v>35</v>
      </c>
    </row>
    <row r="415" spans="1:2" x14ac:dyDescent="0.35">
      <c r="A415" t="s">
        <v>26</v>
      </c>
      <c r="B415" s="33">
        <v>1610000000</v>
      </c>
    </row>
    <row r="416" spans="1:2" x14ac:dyDescent="0.35">
      <c r="A416" t="s">
        <v>27</v>
      </c>
      <c r="B416" s="33">
        <v>3922000000</v>
      </c>
    </row>
    <row r="417" spans="1:2" x14ac:dyDescent="0.35">
      <c r="A417" t="s">
        <v>28</v>
      </c>
      <c r="B417" s="34">
        <v>0.08</v>
      </c>
    </row>
    <row r="418" spans="1:2" x14ac:dyDescent="0.35">
      <c r="B418" s="33"/>
    </row>
    <row r="419" spans="1:2" x14ac:dyDescent="0.35">
      <c r="A419" t="s">
        <v>37</v>
      </c>
      <c r="B419" s="33"/>
    </row>
    <row r="420" spans="1:2" x14ac:dyDescent="0.35">
      <c r="A420" t="s">
        <v>23</v>
      </c>
      <c r="B420" s="33">
        <v>90805000000</v>
      </c>
    </row>
    <row r="421" spans="1:2" x14ac:dyDescent="0.35">
      <c r="A421" t="s">
        <v>24</v>
      </c>
      <c r="B421" s="33">
        <v>60521000000</v>
      </c>
    </row>
    <row r="422" spans="1:2" x14ac:dyDescent="0.35">
      <c r="A422" t="s">
        <v>25</v>
      </c>
      <c r="B422" s="33">
        <v>2163000000</v>
      </c>
    </row>
    <row r="423" spans="1:2" x14ac:dyDescent="0.35">
      <c r="A423" t="s">
        <v>26</v>
      </c>
      <c r="B423" s="33">
        <v>42779000000</v>
      </c>
    </row>
    <row r="424" spans="1:2" x14ac:dyDescent="0.35">
      <c r="A424" t="s">
        <v>27</v>
      </c>
      <c r="B424" s="33">
        <v>54724000000</v>
      </c>
    </row>
    <row r="425" spans="1:2" x14ac:dyDescent="0.35">
      <c r="A425" t="s">
        <v>28</v>
      </c>
      <c r="B425" s="34">
        <v>0.67</v>
      </c>
    </row>
    <row r="426" spans="1:2" x14ac:dyDescent="0.35">
      <c r="B426" s="33"/>
    </row>
    <row r="427" spans="1:2" x14ac:dyDescent="0.35">
      <c r="A427" t="s">
        <v>38</v>
      </c>
      <c r="B427" s="33"/>
    </row>
    <row r="428" spans="1:2" x14ac:dyDescent="0.35">
      <c r="A428" t="s">
        <v>23</v>
      </c>
      <c r="B428" s="33">
        <v>19322000000</v>
      </c>
    </row>
    <row r="429" spans="1:2" x14ac:dyDescent="0.35">
      <c r="A429" t="s">
        <v>24</v>
      </c>
      <c r="B429" s="33">
        <v>19790000000</v>
      </c>
    </row>
    <row r="430" spans="1:2" x14ac:dyDescent="0.35">
      <c r="A430" t="s">
        <v>25</v>
      </c>
      <c r="B430" s="33">
        <v>16088000000</v>
      </c>
    </row>
    <row r="431" spans="1:2" x14ac:dyDescent="0.35">
      <c r="A431" t="s">
        <v>26</v>
      </c>
      <c r="B431" s="33">
        <v>3698000000</v>
      </c>
    </row>
    <row r="432" spans="1:2" x14ac:dyDescent="0.35">
      <c r="A432" t="s">
        <v>27</v>
      </c>
      <c r="B432" s="33" t="s">
        <v>35</v>
      </c>
    </row>
    <row r="433" spans="1:2" x14ac:dyDescent="0.35">
      <c r="A433" t="s">
        <v>28</v>
      </c>
      <c r="B433" s="34">
        <v>1.02</v>
      </c>
    </row>
    <row r="434" spans="1:2" x14ac:dyDescent="0.35">
      <c r="B434" s="33"/>
    </row>
    <row r="435" spans="1:2" x14ac:dyDescent="0.35">
      <c r="A435" t="s">
        <v>39</v>
      </c>
      <c r="B435" s="33"/>
    </row>
    <row r="436" spans="1:2" x14ac:dyDescent="0.35">
      <c r="A436" t="s">
        <v>23</v>
      </c>
      <c r="B436" s="33">
        <v>265595000000</v>
      </c>
    </row>
    <row r="437" spans="1:2" x14ac:dyDescent="0.35">
      <c r="A437" t="s">
        <v>24</v>
      </c>
      <c r="B437" s="33">
        <v>146860000000</v>
      </c>
    </row>
    <row r="438" spans="1:2" x14ac:dyDescent="0.35">
      <c r="A438" t="s">
        <v>25</v>
      </c>
      <c r="B438" s="33">
        <v>20553000000</v>
      </c>
    </row>
    <row r="439" spans="1:2" x14ac:dyDescent="0.35">
      <c r="A439" t="s">
        <v>26</v>
      </c>
      <c r="B439" s="33">
        <v>81754000000</v>
      </c>
    </row>
    <row r="440" spans="1:2" x14ac:dyDescent="0.35">
      <c r="A440" t="s">
        <v>27</v>
      </c>
      <c r="B440" s="33">
        <v>113258000000</v>
      </c>
    </row>
    <row r="441" spans="1:2" x14ac:dyDescent="0.35">
      <c r="A441" t="s">
        <v>28</v>
      </c>
      <c r="B441" s="34">
        <v>0.55000000000000004</v>
      </c>
    </row>
    <row r="442" spans="1:2" x14ac:dyDescent="0.35">
      <c r="B442" s="33"/>
    </row>
    <row r="443" spans="1:2" x14ac:dyDescent="0.35">
      <c r="A443" t="s">
        <v>43</v>
      </c>
      <c r="B443" s="33"/>
    </row>
    <row r="444" spans="1:2" x14ac:dyDescent="0.35">
      <c r="A444" t="s">
        <v>23</v>
      </c>
      <c r="B444" s="33">
        <v>36148000000</v>
      </c>
    </row>
    <row r="445" spans="1:2" x14ac:dyDescent="0.35">
      <c r="A445" t="s">
        <v>24</v>
      </c>
      <c r="B445" s="33">
        <v>193893000000</v>
      </c>
    </row>
    <row r="446" spans="1:2" x14ac:dyDescent="0.35">
      <c r="A446" t="s">
        <v>25</v>
      </c>
      <c r="B446" s="33" t="s">
        <v>35</v>
      </c>
    </row>
    <row r="447" spans="1:2" x14ac:dyDescent="0.35">
      <c r="A447" t="s">
        <v>26</v>
      </c>
      <c r="B447" s="33">
        <v>136162000000</v>
      </c>
    </row>
    <row r="448" spans="1:2" x14ac:dyDescent="0.35">
      <c r="A448" t="s">
        <v>27</v>
      </c>
      <c r="B448" s="33">
        <v>154562000000</v>
      </c>
    </row>
    <row r="449" spans="1:2" x14ac:dyDescent="0.35">
      <c r="A449" t="s">
        <v>28</v>
      </c>
      <c r="B449" s="34">
        <v>5.36</v>
      </c>
    </row>
    <row r="450" spans="1:2" x14ac:dyDescent="0.35">
      <c r="B450" s="33"/>
    </row>
    <row r="451" spans="1:2" x14ac:dyDescent="0.35">
      <c r="A451" t="s">
        <v>44</v>
      </c>
      <c r="B451" s="33"/>
    </row>
    <row r="452" spans="1:2" x14ac:dyDescent="0.35">
      <c r="A452" t="s">
        <v>23</v>
      </c>
      <c r="B452" s="33">
        <v>343011000000</v>
      </c>
    </row>
    <row r="453" spans="1:2" x14ac:dyDescent="0.35">
      <c r="A453" t="s">
        <v>24</v>
      </c>
      <c r="B453" s="33" t="s">
        <v>35</v>
      </c>
    </row>
    <row r="454" spans="1:2" x14ac:dyDescent="0.35">
      <c r="A454" t="s">
        <v>25</v>
      </c>
      <c r="B454" s="33">
        <v>71516000000</v>
      </c>
    </row>
    <row r="455" spans="1:2" x14ac:dyDescent="0.35">
      <c r="A455" t="s">
        <v>26</v>
      </c>
      <c r="B455" s="33">
        <v>18352000000</v>
      </c>
    </row>
    <row r="456" spans="1:2" x14ac:dyDescent="0.35">
      <c r="A456" t="s">
        <v>27</v>
      </c>
      <c r="B456" s="33" t="s">
        <v>35</v>
      </c>
    </row>
    <row r="457" spans="1:2" x14ac:dyDescent="0.35">
      <c r="A457" t="s">
        <v>28</v>
      </c>
      <c r="B457" s="34" t="s">
        <v>35</v>
      </c>
    </row>
    <row r="458" spans="1:2" x14ac:dyDescent="0.35">
      <c r="B458" s="33"/>
    </row>
    <row r="459" spans="1:2" x14ac:dyDescent="0.35">
      <c r="A459" t="s">
        <v>45</v>
      </c>
    </row>
    <row r="460" spans="1:2" x14ac:dyDescent="0.35">
      <c r="A460" t="s">
        <v>23</v>
      </c>
      <c r="B460" s="33">
        <v>18881000000</v>
      </c>
    </row>
    <row r="461" spans="1:2" x14ac:dyDescent="0.35">
      <c r="A461" t="s">
        <v>24</v>
      </c>
      <c r="B461" s="33" t="s">
        <v>35</v>
      </c>
    </row>
    <row r="462" spans="1:2" x14ac:dyDescent="0.35">
      <c r="A462" t="s">
        <v>25</v>
      </c>
      <c r="B462" s="33">
        <v>1663000000</v>
      </c>
    </row>
    <row r="463" spans="1:2" x14ac:dyDescent="0.35">
      <c r="A463" t="s">
        <v>26</v>
      </c>
      <c r="B463" s="33">
        <v>3317000000</v>
      </c>
    </row>
    <row r="464" spans="1:2" x14ac:dyDescent="0.35">
      <c r="A464" t="s">
        <v>27</v>
      </c>
      <c r="B464" s="33">
        <v>2330000000</v>
      </c>
    </row>
    <row r="465" spans="1:2" x14ac:dyDescent="0.35">
      <c r="A465" t="s">
        <v>28</v>
      </c>
      <c r="B465" s="34" t="s">
        <v>35</v>
      </c>
    </row>
    <row r="466" spans="1:2" x14ac:dyDescent="0.35">
      <c r="B466" s="33"/>
    </row>
    <row r="467" spans="1:2" x14ac:dyDescent="0.35">
      <c r="A467" t="s">
        <v>46</v>
      </c>
    </row>
    <row r="468" spans="1:2" x14ac:dyDescent="0.35">
      <c r="A468" t="s">
        <v>23</v>
      </c>
      <c r="B468" s="33">
        <v>23664000000</v>
      </c>
    </row>
    <row r="469" spans="1:2" x14ac:dyDescent="0.35">
      <c r="A469" t="s">
        <v>24</v>
      </c>
      <c r="B469" s="33">
        <v>14787000000</v>
      </c>
    </row>
    <row r="470" spans="1:2" x14ac:dyDescent="0.35">
      <c r="A470" t="s">
        <v>25</v>
      </c>
      <c r="B470" s="33">
        <v>6704000000</v>
      </c>
    </row>
    <row r="471" spans="1:2" x14ac:dyDescent="0.35">
      <c r="A471" t="s">
        <v>26</v>
      </c>
      <c r="B471" s="33">
        <v>-1391000000</v>
      </c>
    </row>
    <row r="472" spans="1:2" x14ac:dyDescent="0.35">
      <c r="A472" t="s">
        <v>27</v>
      </c>
      <c r="B472" s="33">
        <v>10778000000</v>
      </c>
    </row>
    <row r="473" spans="1:2" x14ac:dyDescent="0.35">
      <c r="A473" t="s">
        <v>28</v>
      </c>
      <c r="B473" s="34">
        <v>0.62</v>
      </c>
    </row>
    <row r="474" spans="1:2" x14ac:dyDescent="0.35">
      <c r="B474" s="33"/>
    </row>
    <row r="475" spans="1:2" x14ac:dyDescent="0.35">
      <c r="A475" t="s">
        <v>47</v>
      </c>
      <c r="B475" s="33"/>
    </row>
    <row r="476" spans="1:2" x14ac:dyDescent="0.35">
      <c r="A476" t="s">
        <v>23</v>
      </c>
      <c r="B476" s="33">
        <v>30818000000</v>
      </c>
    </row>
    <row r="477" spans="1:2" x14ac:dyDescent="0.35">
      <c r="A477" t="s">
        <v>24</v>
      </c>
      <c r="B477" s="33">
        <v>2786000000</v>
      </c>
    </row>
    <row r="478" spans="1:2" x14ac:dyDescent="0.35">
      <c r="A478" t="s">
        <v>25</v>
      </c>
      <c r="B478" s="33">
        <v>3287000000</v>
      </c>
    </row>
    <row r="479" spans="1:2" x14ac:dyDescent="0.35">
      <c r="A479" t="s">
        <v>26</v>
      </c>
      <c r="B479" s="33">
        <v>4411000000</v>
      </c>
    </row>
    <row r="480" spans="1:2" x14ac:dyDescent="0.35">
      <c r="A480" t="s">
        <v>27</v>
      </c>
      <c r="B480" s="33" t="s">
        <v>35</v>
      </c>
    </row>
    <row r="481" spans="1:2" x14ac:dyDescent="0.35">
      <c r="A481" t="s">
        <v>28</v>
      </c>
      <c r="B481" s="34">
        <v>0.09</v>
      </c>
    </row>
    <row r="482" spans="1:2" x14ac:dyDescent="0.35">
      <c r="B482" s="33"/>
    </row>
    <row r="483" spans="1:2" x14ac:dyDescent="0.35">
      <c r="A483" t="s">
        <v>48</v>
      </c>
      <c r="B483" s="33"/>
    </row>
    <row r="484" spans="1:2" x14ac:dyDescent="0.35">
      <c r="A484" t="s">
        <v>23</v>
      </c>
      <c r="B484" s="33">
        <v>31519000000</v>
      </c>
    </row>
    <row r="485" spans="1:2" x14ac:dyDescent="0.35">
      <c r="A485" t="s">
        <v>24</v>
      </c>
      <c r="B485" s="33">
        <v>18008000000</v>
      </c>
    </row>
    <row r="486" spans="1:2" x14ac:dyDescent="0.35">
      <c r="A486" t="s">
        <v>25</v>
      </c>
      <c r="B486" s="33">
        <v>9913000000</v>
      </c>
    </row>
    <row r="487" spans="1:2" x14ac:dyDescent="0.35">
      <c r="A487" t="s">
        <v>26</v>
      </c>
      <c r="B487" s="33">
        <v>6071000000</v>
      </c>
    </row>
    <row r="488" spans="1:2" x14ac:dyDescent="0.35">
      <c r="A488" t="s">
        <v>27</v>
      </c>
      <c r="B488" s="33">
        <v>7163000000</v>
      </c>
    </row>
    <row r="489" spans="1:2" x14ac:dyDescent="0.35">
      <c r="A489" t="s">
        <v>28</v>
      </c>
      <c r="B489" s="34">
        <v>0.56999999999999995</v>
      </c>
    </row>
    <row r="490" spans="1:2" x14ac:dyDescent="0.35">
      <c r="B490" s="33"/>
    </row>
    <row r="491" spans="1:2" x14ac:dyDescent="0.35">
      <c r="A491" t="s">
        <v>49</v>
      </c>
      <c r="B491" s="33"/>
    </row>
    <row r="492" spans="1:2" x14ac:dyDescent="0.35">
      <c r="A492" t="s">
        <v>23</v>
      </c>
      <c r="B492" s="33">
        <v>12298000000</v>
      </c>
    </row>
    <row r="493" spans="1:2" x14ac:dyDescent="0.35">
      <c r="A493" t="s">
        <v>24</v>
      </c>
      <c r="B493" s="33" t="s">
        <v>35</v>
      </c>
    </row>
    <row r="494" spans="1:2" x14ac:dyDescent="0.35">
      <c r="A494" t="s">
        <v>25</v>
      </c>
      <c r="B494" s="33">
        <v>2212000000</v>
      </c>
    </row>
    <row r="495" spans="1:2" x14ac:dyDescent="0.35">
      <c r="A495" t="s">
        <v>26</v>
      </c>
      <c r="B495" s="33">
        <v>-1033000000</v>
      </c>
    </row>
    <row r="496" spans="1:2" x14ac:dyDescent="0.35">
      <c r="A496" t="s">
        <v>27</v>
      </c>
      <c r="B496" s="33">
        <v>4221000000</v>
      </c>
    </row>
    <row r="497" spans="1:2" x14ac:dyDescent="0.35">
      <c r="A497" t="s">
        <v>28</v>
      </c>
      <c r="B497" s="34" t="s">
        <v>35</v>
      </c>
    </row>
    <row r="498" spans="1:2" x14ac:dyDescent="0.35">
      <c r="B498" s="33"/>
    </row>
    <row r="499" spans="1:2" x14ac:dyDescent="0.35">
      <c r="A499" t="s">
        <v>50</v>
      </c>
    </row>
    <row r="500" spans="1:2" x14ac:dyDescent="0.35">
      <c r="A500" t="s">
        <v>23</v>
      </c>
      <c r="B500" s="33">
        <v>91141000000</v>
      </c>
    </row>
    <row r="501" spans="1:2" x14ac:dyDescent="0.35">
      <c r="A501" t="s">
        <v>24</v>
      </c>
      <c r="B501" s="33">
        <v>-3135000000</v>
      </c>
    </row>
    <row r="502" spans="1:2" x14ac:dyDescent="0.35">
      <c r="A502" t="s">
        <v>25</v>
      </c>
      <c r="B502" s="33">
        <v>8554000000</v>
      </c>
    </row>
    <row r="503" spans="1:2" x14ac:dyDescent="0.35">
      <c r="A503" t="s">
        <v>26</v>
      </c>
      <c r="B503" s="33">
        <v>12969000000</v>
      </c>
    </row>
    <row r="504" spans="1:2" x14ac:dyDescent="0.35">
      <c r="A504" t="s">
        <v>27</v>
      </c>
      <c r="B504" s="33">
        <v>12546000000</v>
      </c>
    </row>
    <row r="505" spans="1:2" x14ac:dyDescent="0.35">
      <c r="A505" t="s">
        <v>28</v>
      </c>
      <c r="B505" s="34">
        <v>-0.03</v>
      </c>
    </row>
    <row r="506" spans="1:2" x14ac:dyDescent="0.35">
      <c r="B506" s="33"/>
    </row>
    <row r="507" spans="1:2" x14ac:dyDescent="0.35">
      <c r="A507" t="s">
        <v>51</v>
      </c>
      <c r="B507" s="33"/>
    </row>
    <row r="508" spans="1:2" x14ac:dyDescent="0.35">
      <c r="A508" t="s">
        <v>23</v>
      </c>
      <c r="B508" s="33">
        <v>3913000000</v>
      </c>
    </row>
    <row r="509" spans="1:2" x14ac:dyDescent="0.35">
      <c r="A509" t="s">
        <v>24</v>
      </c>
      <c r="B509" s="33">
        <v>6795000000</v>
      </c>
    </row>
    <row r="510" spans="1:2" x14ac:dyDescent="0.35">
      <c r="A510" t="s">
        <v>25</v>
      </c>
      <c r="B510" s="33">
        <v>1877000000</v>
      </c>
    </row>
    <row r="511" spans="1:2" x14ac:dyDescent="0.35">
      <c r="A511" t="s">
        <v>26</v>
      </c>
      <c r="B511" s="33">
        <v>2950000000</v>
      </c>
    </row>
    <row r="512" spans="1:2" x14ac:dyDescent="0.35">
      <c r="A512" t="s">
        <v>27</v>
      </c>
      <c r="B512" s="33">
        <v>2517000000</v>
      </c>
    </row>
    <row r="513" spans="1:2" x14ac:dyDescent="0.35">
      <c r="A513" t="s">
        <v>28</v>
      </c>
      <c r="B513" s="34">
        <v>1.74</v>
      </c>
    </row>
    <row r="514" spans="1:2" x14ac:dyDescent="0.35">
      <c r="B514" s="33"/>
    </row>
    <row r="515" spans="1:2" x14ac:dyDescent="0.35">
      <c r="A515" t="s">
        <v>40</v>
      </c>
      <c r="B515" s="33"/>
    </row>
    <row r="516" spans="1:2" x14ac:dyDescent="0.35">
      <c r="A516" t="s">
        <v>23</v>
      </c>
      <c r="B516" s="33">
        <v>61473000000</v>
      </c>
    </row>
    <row r="517" spans="1:2" x14ac:dyDescent="0.35">
      <c r="A517" t="s">
        <v>24</v>
      </c>
      <c r="B517" s="33" t="s">
        <v>35</v>
      </c>
    </row>
    <row r="518" spans="1:2" x14ac:dyDescent="0.35">
      <c r="A518" t="s">
        <v>25</v>
      </c>
      <c r="B518" s="33">
        <v>14090000000</v>
      </c>
    </row>
    <row r="519" spans="1:2" x14ac:dyDescent="0.35">
      <c r="A519" t="s">
        <v>26</v>
      </c>
      <c r="B519" s="33">
        <v>18812000000</v>
      </c>
    </row>
    <row r="520" spans="1:2" x14ac:dyDescent="0.35">
      <c r="A520" t="s">
        <v>27</v>
      </c>
      <c r="B520" s="33">
        <v>39519000000</v>
      </c>
    </row>
    <row r="521" spans="1:2" x14ac:dyDescent="0.35">
      <c r="A521" t="s">
        <v>28</v>
      </c>
      <c r="B521" s="33" t="s">
        <v>35</v>
      </c>
    </row>
    <row r="522" spans="1:2" x14ac:dyDescent="0.35">
      <c r="B522" s="33"/>
    </row>
    <row r="523" spans="1:2" x14ac:dyDescent="0.35">
      <c r="A523" t="s">
        <v>36</v>
      </c>
      <c r="B523" s="33"/>
    </row>
    <row r="524" spans="1:2" x14ac:dyDescent="0.35">
      <c r="A524" t="s">
        <v>23</v>
      </c>
      <c r="B524" s="33">
        <v>52871000000</v>
      </c>
    </row>
    <row r="525" spans="1:2" x14ac:dyDescent="0.35">
      <c r="A525" t="s">
        <v>24</v>
      </c>
      <c r="B525" s="33">
        <v>28584000000</v>
      </c>
    </row>
    <row r="526" spans="1:2" x14ac:dyDescent="0.35">
      <c r="A526" t="s">
        <v>25</v>
      </c>
      <c r="B526" s="33">
        <v>15294000000</v>
      </c>
    </row>
    <row r="527" spans="1:2" x14ac:dyDescent="0.35">
      <c r="A527" t="s">
        <v>26</v>
      </c>
      <c r="B527" s="33">
        <v>8968000000</v>
      </c>
    </row>
    <row r="528" spans="1:2" x14ac:dyDescent="0.35">
      <c r="A528" t="s">
        <v>27</v>
      </c>
      <c r="B528" s="33">
        <v>12912000000</v>
      </c>
    </row>
    <row r="529" spans="1:2" x14ac:dyDescent="0.35">
      <c r="A529" t="s">
        <v>28</v>
      </c>
      <c r="B529" s="34">
        <v>0.54</v>
      </c>
    </row>
    <row r="530" spans="1:2" x14ac:dyDescent="0.35">
      <c r="B530" s="33"/>
    </row>
    <row r="531" spans="1:2" x14ac:dyDescent="0.35">
      <c r="A531" t="s">
        <v>41</v>
      </c>
      <c r="B531" s="33"/>
    </row>
    <row r="532" spans="1:2" x14ac:dyDescent="0.35">
      <c r="A532" t="s">
        <v>23</v>
      </c>
      <c r="B532" s="33">
        <v>41831000000</v>
      </c>
    </row>
    <row r="533" spans="1:2" x14ac:dyDescent="0.35">
      <c r="A533" t="s">
        <v>24</v>
      </c>
      <c r="B533" s="33">
        <v>7031000000</v>
      </c>
    </row>
    <row r="534" spans="1:2" x14ac:dyDescent="0.35">
      <c r="A534" t="s">
        <v>25</v>
      </c>
      <c r="B534" s="33">
        <v>2617000000</v>
      </c>
    </row>
    <row r="535" spans="1:2" x14ac:dyDescent="0.35">
      <c r="A535" t="s">
        <v>26</v>
      </c>
      <c r="B535" s="33">
        <v>4696000000</v>
      </c>
    </row>
    <row r="536" spans="1:2" x14ac:dyDescent="0.35">
      <c r="A536" t="s">
        <v>27</v>
      </c>
      <c r="B536" s="33">
        <v>4622000000</v>
      </c>
    </row>
    <row r="537" spans="1:2" x14ac:dyDescent="0.35">
      <c r="A537" t="s">
        <v>28</v>
      </c>
      <c r="B537" s="34">
        <v>0.17</v>
      </c>
    </row>
    <row r="538" spans="1:2" x14ac:dyDescent="0.35">
      <c r="B538" s="33"/>
    </row>
    <row r="539" spans="1:2" x14ac:dyDescent="0.35">
      <c r="A539" t="s">
        <v>42</v>
      </c>
      <c r="B539" s="33"/>
    </row>
    <row r="540" spans="1:2" x14ac:dyDescent="0.35">
      <c r="A540" t="s">
        <v>23</v>
      </c>
      <c r="B540" s="33">
        <v>36118000000</v>
      </c>
    </row>
    <row r="541" spans="1:2" x14ac:dyDescent="0.35">
      <c r="A541" t="s">
        <v>24</v>
      </c>
      <c r="B541" s="33">
        <v>3057000000</v>
      </c>
    </row>
    <row r="542" spans="1:2" x14ac:dyDescent="0.35">
      <c r="A542" t="s">
        <v>25</v>
      </c>
      <c r="B542" s="33" t="s">
        <v>35</v>
      </c>
    </row>
    <row r="543" spans="1:2" x14ac:dyDescent="0.35">
      <c r="A543" t="s">
        <v>26</v>
      </c>
      <c r="B543" s="33">
        <v>1610000000</v>
      </c>
    </row>
    <row r="544" spans="1:2" x14ac:dyDescent="0.35">
      <c r="A544" t="s">
        <v>27</v>
      </c>
      <c r="B544" s="33">
        <v>3922000000</v>
      </c>
    </row>
    <row r="545" spans="1:2" x14ac:dyDescent="0.35">
      <c r="A545" t="s">
        <v>28</v>
      </c>
      <c r="B545" s="34">
        <v>0.08</v>
      </c>
    </row>
    <row r="546" spans="1:2" x14ac:dyDescent="0.35">
      <c r="B546" s="33"/>
    </row>
    <row r="547" spans="1:2" x14ac:dyDescent="0.35">
      <c r="A547" t="s">
        <v>37</v>
      </c>
      <c r="B547" s="33"/>
    </row>
    <row r="548" spans="1:2" x14ac:dyDescent="0.35">
      <c r="A548" t="s">
        <v>23</v>
      </c>
      <c r="B548" s="33">
        <v>90805000000</v>
      </c>
    </row>
    <row r="549" spans="1:2" x14ac:dyDescent="0.35">
      <c r="A549" t="s">
        <v>24</v>
      </c>
      <c r="B549" s="33">
        <v>60521000000</v>
      </c>
    </row>
    <row r="550" spans="1:2" x14ac:dyDescent="0.35">
      <c r="A550" t="s">
        <v>25</v>
      </c>
      <c r="B550" s="33">
        <v>2163000000</v>
      </c>
    </row>
    <row r="551" spans="1:2" x14ac:dyDescent="0.35">
      <c r="A551" t="s">
        <v>26</v>
      </c>
      <c r="B551" s="33">
        <v>42779000000</v>
      </c>
    </row>
    <row r="552" spans="1:2" x14ac:dyDescent="0.35">
      <c r="A552" t="s">
        <v>27</v>
      </c>
      <c r="B552" s="33">
        <v>54724000000</v>
      </c>
    </row>
    <row r="553" spans="1:2" x14ac:dyDescent="0.35">
      <c r="A553" t="s">
        <v>28</v>
      </c>
      <c r="B553" s="34">
        <v>0.67</v>
      </c>
    </row>
    <row r="555" spans="1:2" x14ac:dyDescent="0.35">
      <c r="A555" t="s">
        <v>38</v>
      </c>
      <c r="B555" s="33"/>
    </row>
    <row r="556" spans="1:2" x14ac:dyDescent="0.35">
      <c r="A556" t="s">
        <v>23</v>
      </c>
      <c r="B556" s="33">
        <v>19322000000</v>
      </c>
    </row>
    <row r="557" spans="1:2" x14ac:dyDescent="0.35">
      <c r="A557" t="s">
        <v>24</v>
      </c>
      <c r="B557" s="33">
        <v>19790000000</v>
      </c>
    </row>
    <row r="558" spans="1:2" x14ac:dyDescent="0.35">
      <c r="A558" t="s">
        <v>25</v>
      </c>
      <c r="B558" s="33">
        <v>16088000000</v>
      </c>
    </row>
    <row r="559" spans="1:2" x14ac:dyDescent="0.35">
      <c r="A559" t="s">
        <v>26</v>
      </c>
      <c r="B559" s="33">
        <v>3698000000</v>
      </c>
    </row>
    <row r="560" spans="1:2" x14ac:dyDescent="0.35">
      <c r="A560" t="s">
        <v>27</v>
      </c>
      <c r="B560" s="33" t="s">
        <v>35</v>
      </c>
    </row>
    <row r="561" spans="1:2" x14ac:dyDescent="0.35">
      <c r="A561" t="s">
        <v>28</v>
      </c>
      <c r="B561" s="34">
        <v>1.02</v>
      </c>
    </row>
    <row r="562" spans="1:2" x14ac:dyDescent="0.35">
      <c r="B562" s="33"/>
    </row>
    <row r="563" spans="1:2" x14ac:dyDescent="0.35">
      <c r="A563" t="s">
        <v>39</v>
      </c>
      <c r="B563" s="33"/>
    </row>
    <row r="564" spans="1:2" x14ac:dyDescent="0.35">
      <c r="A564" t="s">
        <v>23</v>
      </c>
      <c r="B564" s="33">
        <v>265595000000</v>
      </c>
    </row>
    <row r="565" spans="1:2" x14ac:dyDescent="0.35">
      <c r="A565" t="s">
        <v>24</v>
      </c>
      <c r="B565" s="33">
        <v>146860000000</v>
      </c>
    </row>
    <row r="566" spans="1:2" x14ac:dyDescent="0.35">
      <c r="A566" t="s">
        <v>25</v>
      </c>
      <c r="B566" s="33">
        <v>20553000000</v>
      </c>
    </row>
    <row r="567" spans="1:2" x14ac:dyDescent="0.35">
      <c r="A567" t="s">
        <v>26</v>
      </c>
      <c r="B567" s="33">
        <v>81754000000</v>
      </c>
    </row>
    <row r="568" spans="1:2" x14ac:dyDescent="0.35">
      <c r="A568" t="s">
        <v>27</v>
      </c>
      <c r="B568" s="33">
        <v>113258000000</v>
      </c>
    </row>
    <row r="569" spans="1:2" x14ac:dyDescent="0.35">
      <c r="A569" t="s">
        <v>28</v>
      </c>
      <c r="B569" s="34">
        <v>0.55000000000000004</v>
      </c>
    </row>
    <row r="570" spans="1:2" x14ac:dyDescent="0.35">
      <c r="B570" s="33"/>
    </row>
    <row r="571" spans="1:2" x14ac:dyDescent="0.35">
      <c r="A571" t="s">
        <v>43</v>
      </c>
      <c r="B571" s="33"/>
    </row>
    <row r="572" spans="1:2" x14ac:dyDescent="0.35">
      <c r="A572" t="s">
        <v>23</v>
      </c>
      <c r="B572" s="33">
        <v>36148000000</v>
      </c>
    </row>
    <row r="573" spans="1:2" x14ac:dyDescent="0.35">
      <c r="A573" t="s">
        <v>24</v>
      </c>
      <c r="B573" s="33">
        <v>193893000000</v>
      </c>
    </row>
    <row r="574" spans="1:2" x14ac:dyDescent="0.35">
      <c r="A574" t="s">
        <v>25</v>
      </c>
      <c r="B574" s="33" t="s">
        <v>35</v>
      </c>
    </row>
    <row r="575" spans="1:2" x14ac:dyDescent="0.35">
      <c r="A575" t="s">
        <v>26</v>
      </c>
      <c r="B575" s="33">
        <v>136162000000</v>
      </c>
    </row>
    <row r="576" spans="1:2" x14ac:dyDescent="0.35">
      <c r="A576" t="s">
        <v>27</v>
      </c>
      <c r="B576" s="33">
        <v>154562000000</v>
      </c>
    </row>
    <row r="577" spans="1:2" x14ac:dyDescent="0.35">
      <c r="A577" t="s">
        <v>28</v>
      </c>
      <c r="B577" s="34">
        <v>5.36</v>
      </c>
    </row>
    <row r="578" spans="1:2" x14ac:dyDescent="0.35">
      <c r="B578" s="33"/>
    </row>
    <row r="579" spans="1:2" x14ac:dyDescent="0.35">
      <c r="A579" t="s">
        <v>44</v>
      </c>
      <c r="B579" s="33"/>
    </row>
    <row r="580" spans="1:2" x14ac:dyDescent="0.35">
      <c r="A580" t="s">
        <v>23</v>
      </c>
      <c r="B580" s="33">
        <v>343011000000</v>
      </c>
    </row>
    <row r="581" spans="1:2" x14ac:dyDescent="0.35">
      <c r="A581" t="s">
        <v>24</v>
      </c>
      <c r="B581" s="34" t="s">
        <v>35</v>
      </c>
    </row>
    <row r="582" spans="1:2" x14ac:dyDescent="0.35">
      <c r="A582" t="s">
        <v>25</v>
      </c>
      <c r="B582" s="33">
        <v>71516000000</v>
      </c>
    </row>
    <row r="583" spans="1:2" x14ac:dyDescent="0.35">
      <c r="A583" t="s">
        <v>26</v>
      </c>
      <c r="B583" s="33">
        <v>18352000000</v>
      </c>
    </row>
    <row r="584" spans="1:2" x14ac:dyDescent="0.35">
      <c r="A584" t="s">
        <v>27</v>
      </c>
      <c r="B584" s="33" t="s">
        <v>35</v>
      </c>
    </row>
    <row r="585" spans="1:2" x14ac:dyDescent="0.35">
      <c r="A585" t="s">
        <v>28</v>
      </c>
      <c r="B585" s="33" t="s">
        <v>35</v>
      </c>
    </row>
    <row r="587" spans="1:2" x14ac:dyDescent="0.35">
      <c r="A587" t="s">
        <v>45</v>
      </c>
      <c r="B587" s="33"/>
    </row>
    <row r="588" spans="1:2" x14ac:dyDescent="0.35">
      <c r="A588" t="s">
        <v>23</v>
      </c>
      <c r="B588" s="33">
        <v>18881000000</v>
      </c>
    </row>
    <row r="589" spans="1:2" x14ac:dyDescent="0.35">
      <c r="A589" t="s">
        <v>24</v>
      </c>
      <c r="B589" s="34" t="s">
        <v>35</v>
      </c>
    </row>
    <row r="590" spans="1:2" x14ac:dyDescent="0.35">
      <c r="A590" t="s">
        <v>25</v>
      </c>
      <c r="B590" s="33">
        <v>1663000000</v>
      </c>
    </row>
    <row r="591" spans="1:2" x14ac:dyDescent="0.35">
      <c r="A591" t="s">
        <v>26</v>
      </c>
      <c r="B591" s="33">
        <v>3317000000</v>
      </c>
    </row>
    <row r="592" spans="1:2" x14ac:dyDescent="0.35">
      <c r="A592" t="s">
        <v>27</v>
      </c>
      <c r="B592" s="33">
        <v>2330000000</v>
      </c>
    </row>
    <row r="593" spans="1:2" x14ac:dyDescent="0.35">
      <c r="A593" t="s">
        <v>28</v>
      </c>
      <c r="B593" s="34" t="s">
        <v>35</v>
      </c>
    </row>
    <row r="594" spans="1:2" x14ac:dyDescent="0.35">
      <c r="B594" s="33"/>
    </row>
    <row r="595" spans="1:2" x14ac:dyDescent="0.35">
      <c r="A595" t="s">
        <v>46</v>
      </c>
      <c r="B595" s="33"/>
    </row>
    <row r="596" spans="1:2" x14ac:dyDescent="0.35">
      <c r="A596" t="s">
        <v>23</v>
      </c>
      <c r="B596" s="33">
        <v>23664000000</v>
      </c>
    </row>
    <row r="597" spans="1:2" x14ac:dyDescent="0.35">
      <c r="A597" t="s">
        <v>24</v>
      </c>
      <c r="B597" s="33">
        <v>14787000000</v>
      </c>
    </row>
    <row r="598" spans="1:2" x14ac:dyDescent="0.35">
      <c r="A598" t="s">
        <v>25</v>
      </c>
      <c r="B598" s="33">
        <v>6704000000</v>
      </c>
    </row>
    <row r="599" spans="1:2" x14ac:dyDescent="0.35">
      <c r="A599" t="s">
        <v>26</v>
      </c>
      <c r="B599" s="33">
        <v>-1391000000</v>
      </c>
    </row>
    <row r="600" spans="1:2" x14ac:dyDescent="0.35">
      <c r="A600" t="s">
        <v>27</v>
      </c>
      <c r="B600" s="33">
        <v>10778000000</v>
      </c>
    </row>
    <row r="601" spans="1:2" x14ac:dyDescent="0.35">
      <c r="A601" t="s">
        <v>28</v>
      </c>
      <c r="B601" s="34">
        <v>0.62</v>
      </c>
    </row>
    <row r="602" spans="1:2" x14ac:dyDescent="0.35">
      <c r="B602" s="33"/>
    </row>
    <row r="603" spans="1:2" x14ac:dyDescent="0.35">
      <c r="A603" t="s">
        <v>47</v>
      </c>
      <c r="B603" s="33"/>
    </row>
    <row r="604" spans="1:2" x14ac:dyDescent="0.35">
      <c r="A604" t="s">
        <v>23</v>
      </c>
      <c r="B604" s="33">
        <v>30818000000</v>
      </c>
    </row>
    <row r="605" spans="1:2" x14ac:dyDescent="0.35">
      <c r="A605" t="s">
        <v>24</v>
      </c>
      <c r="B605" s="33">
        <v>2786000000</v>
      </c>
    </row>
    <row r="606" spans="1:2" x14ac:dyDescent="0.35">
      <c r="A606" t="s">
        <v>25</v>
      </c>
      <c r="B606" s="33">
        <v>3287000000</v>
      </c>
    </row>
    <row r="607" spans="1:2" x14ac:dyDescent="0.35">
      <c r="A607" t="s">
        <v>26</v>
      </c>
      <c r="B607" s="33">
        <v>4411000000</v>
      </c>
    </row>
    <row r="608" spans="1:2" x14ac:dyDescent="0.35">
      <c r="A608" t="s">
        <v>27</v>
      </c>
      <c r="B608" s="33" t="s">
        <v>35</v>
      </c>
    </row>
    <row r="609" spans="1:2" x14ac:dyDescent="0.35">
      <c r="A609" t="s">
        <v>28</v>
      </c>
      <c r="B609" s="34">
        <v>0.09</v>
      </c>
    </row>
    <row r="610" spans="1:2" x14ac:dyDescent="0.35">
      <c r="B610" s="33"/>
    </row>
    <row r="611" spans="1:2" x14ac:dyDescent="0.35">
      <c r="A611" t="s">
        <v>48</v>
      </c>
      <c r="B611" s="33"/>
    </row>
    <row r="612" spans="1:2" x14ac:dyDescent="0.35">
      <c r="A612" t="s">
        <v>23</v>
      </c>
      <c r="B612" s="33">
        <v>31519000000</v>
      </c>
    </row>
    <row r="613" spans="1:2" x14ac:dyDescent="0.35">
      <c r="A613" t="s">
        <v>24</v>
      </c>
      <c r="B613" s="33">
        <v>18008000000</v>
      </c>
    </row>
    <row r="614" spans="1:2" x14ac:dyDescent="0.35">
      <c r="A614" t="s">
        <v>25</v>
      </c>
      <c r="B614" s="33">
        <v>9913000000</v>
      </c>
    </row>
    <row r="615" spans="1:2" x14ac:dyDescent="0.35">
      <c r="A615" t="s">
        <v>26</v>
      </c>
      <c r="B615" s="33">
        <v>6071000000</v>
      </c>
    </row>
    <row r="616" spans="1:2" x14ac:dyDescent="0.35">
      <c r="A616" t="s">
        <v>27</v>
      </c>
      <c r="B616" s="33">
        <v>7163000000</v>
      </c>
    </row>
    <row r="617" spans="1:2" x14ac:dyDescent="0.35">
      <c r="A617" t="s">
        <v>28</v>
      </c>
      <c r="B617" s="34">
        <v>0.56999999999999995</v>
      </c>
    </row>
    <row r="618" spans="1:2" x14ac:dyDescent="0.35">
      <c r="B618" s="33"/>
    </row>
    <row r="619" spans="1:2" x14ac:dyDescent="0.35">
      <c r="A619" t="s">
        <v>49</v>
      </c>
      <c r="B619" s="33"/>
    </row>
    <row r="620" spans="1:2" x14ac:dyDescent="0.35">
      <c r="A620" t="s">
        <v>23</v>
      </c>
      <c r="B620" s="33">
        <v>12298000000</v>
      </c>
    </row>
    <row r="621" spans="1:2" x14ac:dyDescent="0.35">
      <c r="A621" t="s">
        <v>24</v>
      </c>
      <c r="B621" s="34" t="s">
        <v>35</v>
      </c>
    </row>
    <row r="622" spans="1:2" x14ac:dyDescent="0.35">
      <c r="A622" t="s">
        <v>25</v>
      </c>
      <c r="B622" s="33">
        <v>2212000000</v>
      </c>
    </row>
    <row r="623" spans="1:2" x14ac:dyDescent="0.35">
      <c r="A623" t="s">
        <v>26</v>
      </c>
      <c r="B623" s="33">
        <v>-1033000000</v>
      </c>
    </row>
    <row r="624" spans="1:2" x14ac:dyDescent="0.35">
      <c r="A624" t="s">
        <v>27</v>
      </c>
      <c r="B624" s="33">
        <v>4221000000</v>
      </c>
    </row>
    <row r="625" spans="1:2" x14ac:dyDescent="0.35">
      <c r="A625" t="s">
        <v>28</v>
      </c>
      <c r="B625" s="33" t="s">
        <v>35</v>
      </c>
    </row>
    <row r="626" spans="1:2" x14ac:dyDescent="0.35">
      <c r="B626" s="33"/>
    </row>
    <row r="627" spans="1:2" x14ac:dyDescent="0.35">
      <c r="A627" t="s">
        <v>50</v>
      </c>
      <c r="B627" s="33"/>
    </row>
    <row r="628" spans="1:2" x14ac:dyDescent="0.35">
      <c r="A628" t="s">
        <v>23</v>
      </c>
      <c r="B628" s="33">
        <v>91141000000</v>
      </c>
    </row>
    <row r="629" spans="1:2" x14ac:dyDescent="0.35">
      <c r="A629" t="s">
        <v>24</v>
      </c>
      <c r="B629" s="33">
        <v>-3135000000</v>
      </c>
    </row>
    <row r="630" spans="1:2" x14ac:dyDescent="0.35">
      <c r="A630" t="s">
        <v>25</v>
      </c>
      <c r="B630" s="33">
        <v>8554000000</v>
      </c>
    </row>
    <row r="631" spans="1:2" x14ac:dyDescent="0.35">
      <c r="A631" t="s">
        <v>26</v>
      </c>
      <c r="B631" s="33">
        <v>12969000000</v>
      </c>
    </row>
    <row r="632" spans="1:2" x14ac:dyDescent="0.35">
      <c r="A632" t="s">
        <v>27</v>
      </c>
      <c r="B632" s="33">
        <v>12546000000</v>
      </c>
    </row>
    <row r="633" spans="1:2" x14ac:dyDescent="0.35">
      <c r="A633" t="s">
        <v>28</v>
      </c>
      <c r="B633" s="34">
        <v>-0.03</v>
      </c>
    </row>
    <row r="634" spans="1:2" x14ac:dyDescent="0.35">
      <c r="B634" s="33"/>
    </row>
    <row r="635" spans="1:2" x14ac:dyDescent="0.35">
      <c r="A635" t="s">
        <v>51</v>
      </c>
      <c r="B635" s="33"/>
    </row>
    <row r="636" spans="1:2" x14ac:dyDescent="0.35">
      <c r="A636" t="s">
        <v>23</v>
      </c>
      <c r="B636" s="33">
        <v>3913000000</v>
      </c>
    </row>
    <row r="637" spans="1:2" x14ac:dyDescent="0.35">
      <c r="A637" t="s">
        <v>24</v>
      </c>
      <c r="B637" s="33">
        <v>6795000000</v>
      </c>
    </row>
    <row r="638" spans="1:2" x14ac:dyDescent="0.35">
      <c r="A638" t="s">
        <v>25</v>
      </c>
      <c r="B638" s="33">
        <v>1877000000</v>
      </c>
    </row>
    <row r="639" spans="1:2" x14ac:dyDescent="0.35">
      <c r="A639" t="s">
        <v>26</v>
      </c>
      <c r="B639" s="33">
        <v>2950000000</v>
      </c>
    </row>
    <row r="640" spans="1:2" x14ac:dyDescent="0.35">
      <c r="A640" t="s">
        <v>27</v>
      </c>
      <c r="B640" s="33">
        <v>2517000000</v>
      </c>
    </row>
    <row r="641" spans="1:2" x14ac:dyDescent="0.35">
      <c r="A641" t="s">
        <v>28</v>
      </c>
      <c r="B641" s="34">
        <v>1.74</v>
      </c>
    </row>
    <row r="642" spans="1:2" x14ac:dyDescent="0.35">
      <c r="B642" s="33"/>
    </row>
    <row r="643" spans="1:2" x14ac:dyDescent="0.35">
      <c r="A643" t="s">
        <v>40</v>
      </c>
      <c r="B643" s="33"/>
    </row>
    <row r="644" spans="1:2" x14ac:dyDescent="0.35">
      <c r="A644" t="s">
        <v>23</v>
      </c>
      <c r="B644" s="33">
        <v>61473000000</v>
      </c>
    </row>
    <row r="645" spans="1:2" x14ac:dyDescent="0.35">
      <c r="A645" t="s">
        <v>24</v>
      </c>
      <c r="B645" s="34" t="s">
        <v>35</v>
      </c>
    </row>
    <row r="646" spans="1:2" x14ac:dyDescent="0.35">
      <c r="A646" t="s">
        <v>25</v>
      </c>
      <c r="B646" s="33">
        <v>14090000000</v>
      </c>
    </row>
    <row r="647" spans="1:2" x14ac:dyDescent="0.35">
      <c r="A647" t="s">
        <v>26</v>
      </c>
      <c r="B647" s="33">
        <v>18812000000</v>
      </c>
    </row>
    <row r="648" spans="1:2" x14ac:dyDescent="0.35">
      <c r="A648" t="s">
        <v>27</v>
      </c>
      <c r="B648" s="33">
        <v>39519000000</v>
      </c>
    </row>
    <row r="649" spans="1:2" x14ac:dyDescent="0.35">
      <c r="A649" t="s">
        <v>28</v>
      </c>
      <c r="B649" s="33" t="s">
        <v>35</v>
      </c>
    </row>
    <row r="650" spans="1:2" x14ac:dyDescent="0.35">
      <c r="B650" s="33"/>
    </row>
    <row r="651" spans="1:2" x14ac:dyDescent="0.35">
      <c r="A651" t="s">
        <v>36</v>
      </c>
      <c r="B651" s="33"/>
    </row>
    <row r="652" spans="1:2" x14ac:dyDescent="0.35">
      <c r="A652" t="s">
        <v>23</v>
      </c>
      <c r="B652" s="33">
        <v>52871000000</v>
      </c>
    </row>
    <row r="653" spans="1:2" x14ac:dyDescent="0.35">
      <c r="A653" t="s">
        <v>24</v>
      </c>
      <c r="B653" s="33">
        <v>28584000000</v>
      </c>
    </row>
    <row r="654" spans="1:2" x14ac:dyDescent="0.35">
      <c r="A654" t="s">
        <v>25</v>
      </c>
      <c r="B654" s="33">
        <v>15294000000</v>
      </c>
    </row>
    <row r="655" spans="1:2" x14ac:dyDescent="0.35">
      <c r="A655" t="s">
        <v>26</v>
      </c>
      <c r="B655" s="33">
        <v>8968000000</v>
      </c>
    </row>
    <row r="656" spans="1:2" x14ac:dyDescent="0.35">
      <c r="A656" t="s">
        <v>27</v>
      </c>
      <c r="B656" s="33">
        <v>12912000000</v>
      </c>
    </row>
    <row r="657" spans="1:2" x14ac:dyDescent="0.35">
      <c r="A657" t="s">
        <v>28</v>
      </c>
      <c r="B657" s="34">
        <v>0.54</v>
      </c>
    </row>
    <row r="659" spans="1:2" x14ac:dyDescent="0.35">
      <c r="A659" t="s">
        <v>41</v>
      </c>
    </row>
    <row r="660" spans="1:2" x14ac:dyDescent="0.35">
      <c r="A660" t="s">
        <v>23</v>
      </c>
      <c r="B660" s="33">
        <v>41831000000</v>
      </c>
    </row>
    <row r="661" spans="1:2" x14ac:dyDescent="0.35">
      <c r="A661" t="s">
        <v>24</v>
      </c>
      <c r="B661" s="33">
        <v>7031000000</v>
      </c>
    </row>
    <row r="662" spans="1:2" x14ac:dyDescent="0.35">
      <c r="A662" t="s">
        <v>25</v>
      </c>
      <c r="B662" s="33">
        <v>2617000000</v>
      </c>
    </row>
    <row r="663" spans="1:2" x14ac:dyDescent="0.35">
      <c r="A663" t="s">
        <v>26</v>
      </c>
      <c r="B663" s="33">
        <v>4696000000</v>
      </c>
    </row>
    <row r="664" spans="1:2" x14ac:dyDescent="0.35">
      <c r="A664" t="s">
        <v>27</v>
      </c>
      <c r="B664" s="33">
        <v>4622000000</v>
      </c>
    </row>
    <row r="665" spans="1:2" x14ac:dyDescent="0.35">
      <c r="A665" t="s">
        <v>28</v>
      </c>
      <c r="B665" s="34">
        <v>0.17</v>
      </c>
    </row>
    <row r="667" spans="1:2" x14ac:dyDescent="0.35">
      <c r="A667" t="s">
        <v>42</v>
      </c>
    </row>
    <row r="668" spans="1:2" x14ac:dyDescent="0.35">
      <c r="A668" t="s">
        <v>23</v>
      </c>
      <c r="B668" s="33">
        <v>36118000000</v>
      </c>
    </row>
    <row r="669" spans="1:2" x14ac:dyDescent="0.35">
      <c r="A669" t="s">
        <v>24</v>
      </c>
      <c r="B669" s="33">
        <v>3057000000</v>
      </c>
    </row>
    <row r="670" spans="1:2" x14ac:dyDescent="0.35">
      <c r="A670" t="s">
        <v>25</v>
      </c>
      <c r="B670" s="33" t="s">
        <v>35</v>
      </c>
    </row>
    <row r="671" spans="1:2" x14ac:dyDescent="0.35">
      <c r="A671" t="s">
        <v>26</v>
      </c>
      <c r="B671" s="33">
        <v>1610000000</v>
      </c>
    </row>
    <row r="672" spans="1:2" x14ac:dyDescent="0.35">
      <c r="A672" t="s">
        <v>27</v>
      </c>
      <c r="B672" s="33">
        <v>3922000000</v>
      </c>
    </row>
    <row r="673" spans="1:2" x14ac:dyDescent="0.35">
      <c r="A673" t="s">
        <v>28</v>
      </c>
      <c r="B673" s="34">
        <v>0.08</v>
      </c>
    </row>
    <row r="675" spans="1:2" x14ac:dyDescent="0.35">
      <c r="A675" t="s">
        <v>37</v>
      </c>
    </row>
    <row r="676" spans="1:2" x14ac:dyDescent="0.35">
      <c r="A676" t="s">
        <v>23</v>
      </c>
      <c r="B676" s="33">
        <v>90805000000</v>
      </c>
    </row>
    <row r="677" spans="1:2" x14ac:dyDescent="0.35">
      <c r="A677" t="s">
        <v>24</v>
      </c>
      <c r="B677" s="33">
        <v>60521000000</v>
      </c>
    </row>
    <row r="678" spans="1:2" x14ac:dyDescent="0.35">
      <c r="A678" t="s">
        <v>25</v>
      </c>
      <c r="B678" s="33">
        <v>2163000000</v>
      </c>
    </row>
    <row r="679" spans="1:2" x14ac:dyDescent="0.35">
      <c r="A679" t="s">
        <v>26</v>
      </c>
      <c r="B679" s="33">
        <v>42779000000</v>
      </c>
    </row>
    <row r="680" spans="1:2" x14ac:dyDescent="0.35">
      <c r="A680" t="s">
        <v>27</v>
      </c>
      <c r="B680" s="33">
        <v>54724000000</v>
      </c>
    </row>
    <row r="681" spans="1:2" x14ac:dyDescent="0.35">
      <c r="A681" t="s">
        <v>28</v>
      </c>
      <c r="B681" s="34">
        <v>0.67</v>
      </c>
    </row>
    <row r="683" spans="1:2" x14ac:dyDescent="0.35">
      <c r="A683" t="s">
        <v>38</v>
      </c>
    </row>
    <row r="684" spans="1:2" x14ac:dyDescent="0.35">
      <c r="A684" t="s">
        <v>23</v>
      </c>
      <c r="B684" s="33">
        <v>19322000000</v>
      </c>
    </row>
    <row r="685" spans="1:2" x14ac:dyDescent="0.35">
      <c r="A685" t="s">
        <v>24</v>
      </c>
      <c r="B685" s="33">
        <v>19790000000</v>
      </c>
    </row>
    <row r="686" spans="1:2" x14ac:dyDescent="0.35">
      <c r="A686" t="s">
        <v>25</v>
      </c>
      <c r="B686" s="33">
        <v>16088000000</v>
      </c>
    </row>
    <row r="687" spans="1:2" x14ac:dyDescent="0.35">
      <c r="A687" t="s">
        <v>26</v>
      </c>
      <c r="B687" s="33">
        <v>3698000000</v>
      </c>
    </row>
    <row r="688" spans="1:2" x14ac:dyDescent="0.35">
      <c r="A688" t="s">
        <v>27</v>
      </c>
      <c r="B688" s="33" t="s">
        <v>35</v>
      </c>
    </row>
    <row r="689" spans="1:2" x14ac:dyDescent="0.35">
      <c r="A689" t="s">
        <v>28</v>
      </c>
      <c r="B689" s="34">
        <v>1.02</v>
      </c>
    </row>
    <row r="691" spans="1:2" x14ac:dyDescent="0.35">
      <c r="A691" t="s">
        <v>39</v>
      </c>
    </row>
    <row r="692" spans="1:2" x14ac:dyDescent="0.35">
      <c r="A692" t="s">
        <v>23</v>
      </c>
      <c r="B692" s="33">
        <v>265595000000</v>
      </c>
    </row>
    <row r="693" spans="1:2" x14ac:dyDescent="0.35">
      <c r="A693" t="s">
        <v>24</v>
      </c>
      <c r="B693" s="33">
        <v>146860000000</v>
      </c>
    </row>
    <row r="694" spans="1:2" x14ac:dyDescent="0.35">
      <c r="A694" t="s">
        <v>25</v>
      </c>
      <c r="B694" s="33">
        <v>20553000000</v>
      </c>
    </row>
    <row r="695" spans="1:2" x14ac:dyDescent="0.35">
      <c r="A695" t="s">
        <v>26</v>
      </c>
      <c r="B695" s="33">
        <v>81754000000</v>
      </c>
    </row>
    <row r="696" spans="1:2" x14ac:dyDescent="0.35">
      <c r="A696" t="s">
        <v>27</v>
      </c>
      <c r="B696" s="33">
        <v>113258000000</v>
      </c>
    </row>
    <row r="697" spans="1:2" x14ac:dyDescent="0.35">
      <c r="A697" t="s">
        <v>28</v>
      </c>
      <c r="B697" s="34">
        <v>0.55000000000000004</v>
      </c>
    </row>
    <row r="699" spans="1:2" x14ac:dyDescent="0.35">
      <c r="A699" t="s">
        <v>43</v>
      </c>
    </row>
    <row r="700" spans="1:2" x14ac:dyDescent="0.35">
      <c r="A700" t="s">
        <v>23</v>
      </c>
      <c r="B700" s="33">
        <v>36148000000</v>
      </c>
    </row>
    <row r="701" spans="1:2" x14ac:dyDescent="0.35">
      <c r="A701" t="s">
        <v>24</v>
      </c>
      <c r="B701" s="33">
        <v>193893000000</v>
      </c>
    </row>
    <row r="702" spans="1:2" x14ac:dyDescent="0.35">
      <c r="A702" t="s">
        <v>25</v>
      </c>
      <c r="B702" s="33" t="s">
        <v>35</v>
      </c>
    </row>
    <row r="703" spans="1:2" x14ac:dyDescent="0.35">
      <c r="A703" t="s">
        <v>26</v>
      </c>
      <c r="B703" s="33">
        <v>136162000000</v>
      </c>
    </row>
    <row r="704" spans="1:2" x14ac:dyDescent="0.35">
      <c r="A704" t="s">
        <v>27</v>
      </c>
      <c r="B704" s="33">
        <v>154562000000</v>
      </c>
    </row>
    <row r="705" spans="1:2" x14ac:dyDescent="0.35">
      <c r="A705" t="s">
        <v>28</v>
      </c>
      <c r="B705" s="34">
        <v>5.36</v>
      </c>
    </row>
    <row r="707" spans="1:2" x14ac:dyDescent="0.35">
      <c r="A707" t="s">
        <v>44</v>
      </c>
    </row>
    <row r="708" spans="1:2" x14ac:dyDescent="0.35">
      <c r="A708" t="s">
        <v>23</v>
      </c>
      <c r="B708" s="33">
        <v>343011000000</v>
      </c>
    </row>
    <row r="709" spans="1:2" x14ac:dyDescent="0.35">
      <c r="A709" t="s">
        <v>24</v>
      </c>
      <c r="B709" s="33" t="s">
        <v>35</v>
      </c>
    </row>
    <row r="710" spans="1:2" x14ac:dyDescent="0.35">
      <c r="A710" t="s">
        <v>25</v>
      </c>
      <c r="B710" s="33">
        <v>71516000000</v>
      </c>
    </row>
    <row r="711" spans="1:2" x14ac:dyDescent="0.35">
      <c r="A711" t="s">
        <v>26</v>
      </c>
      <c r="B711" s="33">
        <v>18352000000</v>
      </c>
    </row>
    <row r="712" spans="1:2" x14ac:dyDescent="0.35">
      <c r="A712" t="s">
        <v>27</v>
      </c>
      <c r="B712" s="33" t="s">
        <v>35</v>
      </c>
    </row>
    <row r="713" spans="1:2" x14ac:dyDescent="0.35">
      <c r="A713" t="s">
        <v>28</v>
      </c>
      <c r="B713" s="34" t="s">
        <v>35</v>
      </c>
    </row>
    <row r="715" spans="1:2" x14ac:dyDescent="0.35">
      <c r="A715" t="s">
        <v>45</v>
      </c>
    </row>
    <row r="716" spans="1:2" x14ac:dyDescent="0.35">
      <c r="A716" t="s">
        <v>23</v>
      </c>
      <c r="B716" s="33">
        <v>18881000000</v>
      </c>
    </row>
    <row r="717" spans="1:2" x14ac:dyDescent="0.35">
      <c r="A717" t="s">
        <v>24</v>
      </c>
      <c r="B717" s="33" t="s">
        <v>35</v>
      </c>
    </row>
    <row r="718" spans="1:2" x14ac:dyDescent="0.35">
      <c r="A718" t="s">
        <v>25</v>
      </c>
      <c r="B718" s="33">
        <v>1663000000</v>
      </c>
    </row>
    <row r="719" spans="1:2" x14ac:dyDescent="0.35">
      <c r="A719" t="s">
        <v>26</v>
      </c>
      <c r="B719" s="33">
        <v>3317000000</v>
      </c>
    </row>
    <row r="720" spans="1:2" x14ac:dyDescent="0.35">
      <c r="A720" t="s">
        <v>27</v>
      </c>
      <c r="B720" s="33">
        <v>2330000000</v>
      </c>
    </row>
    <row r="721" spans="1:2" x14ac:dyDescent="0.35">
      <c r="A721" t="s">
        <v>28</v>
      </c>
      <c r="B721" s="34" t="s">
        <v>35</v>
      </c>
    </row>
    <row r="723" spans="1:2" x14ac:dyDescent="0.35">
      <c r="A723" t="s">
        <v>46</v>
      </c>
    </row>
    <row r="724" spans="1:2" x14ac:dyDescent="0.35">
      <c r="A724" t="s">
        <v>23</v>
      </c>
      <c r="B724" s="33">
        <v>23664000000</v>
      </c>
    </row>
    <row r="725" spans="1:2" x14ac:dyDescent="0.35">
      <c r="A725" t="s">
        <v>24</v>
      </c>
      <c r="B725" s="33">
        <v>14787000000</v>
      </c>
    </row>
    <row r="726" spans="1:2" x14ac:dyDescent="0.35">
      <c r="A726" t="s">
        <v>25</v>
      </c>
      <c r="B726" s="33">
        <v>6704000000</v>
      </c>
    </row>
    <row r="727" spans="1:2" x14ac:dyDescent="0.35">
      <c r="A727" t="s">
        <v>26</v>
      </c>
      <c r="B727" s="33">
        <v>-1391000000</v>
      </c>
    </row>
    <row r="728" spans="1:2" x14ac:dyDescent="0.35">
      <c r="A728" t="s">
        <v>27</v>
      </c>
      <c r="B728" s="33">
        <v>10778000000</v>
      </c>
    </row>
    <row r="729" spans="1:2" x14ac:dyDescent="0.35">
      <c r="A729" t="s">
        <v>28</v>
      </c>
      <c r="B729" s="34">
        <v>0.62</v>
      </c>
    </row>
    <row r="731" spans="1:2" x14ac:dyDescent="0.35">
      <c r="A731" t="s">
        <v>47</v>
      </c>
    </row>
    <row r="732" spans="1:2" x14ac:dyDescent="0.35">
      <c r="A732" t="s">
        <v>23</v>
      </c>
      <c r="B732" s="33">
        <v>30818000000</v>
      </c>
    </row>
    <row r="733" spans="1:2" x14ac:dyDescent="0.35">
      <c r="A733" t="s">
        <v>24</v>
      </c>
      <c r="B733" s="33">
        <v>2786000000</v>
      </c>
    </row>
    <row r="734" spans="1:2" x14ac:dyDescent="0.35">
      <c r="A734" t="s">
        <v>25</v>
      </c>
      <c r="B734" s="33">
        <v>3287000000</v>
      </c>
    </row>
    <row r="735" spans="1:2" x14ac:dyDescent="0.35">
      <c r="A735" t="s">
        <v>26</v>
      </c>
      <c r="B735" s="33">
        <v>4411000000</v>
      </c>
    </row>
    <row r="736" spans="1:2" x14ac:dyDescent="0.35">
      <c r="A736" t="s">
        <v>27</v>
      </c>
      <c r="B736" s="33" t="s">
        <v>35</v>
      </c>
    </row>
    <row r="737" spans="1:2" x14ac:dyDescent="0.35">
      <c r="A737" t="s">
        <v>28</v>
      </c>
      <c r="B737" s="34">
        <v>0.09</v>
      </c>
    </row>
    <row r="739" spans="1:2" x14ac:dyDescent="0.35">
      <c r="A739" t="s">
        <v>48</v>
      </c>
    </row>
    <row r="740" spans="1:2" x14ac:dyDescent="0.35">
      <c r="A740" t="s">
        <v>23</v>
      </c>
      <c r="B740" s="33">
        <v>31519000000</v>
      </c>
    </row>
    <row r="741" spans="1:2" x14ac:dyDescent="0.35">
      <c r="A741" t="s">
        <v>24</v>
      </c>
      <c r="B741" s="33">
        <v>18008000000</v>
      </c>
    </row>
    <row r="742" spans="1:2" x14ac:dyDescent="0.35">
      <c r="A742" t="s">
        <v>25</v>
      </c>
      <c r="B742" s="33">
        <v>9913000000</v>
      </c>
    </row>
    <row r="743" spans="1:2" x14ac:dyDescent="0.35">
      <c r="A743" t="s">
        <v>26</v>
      </c>
      <c r="B743" s="33">
        <v>6071000000</v>
      </c>
    </row>
    <row r="744" spans="1:2" x14ac:dyDescent="0.35">
      <c r="A744" t="s">
        <v>27</v>
      </c>
      <c r="B744" s="33">
        <v>7163000000</v>
      </c>
    </row>
    <row r="745" spans="1:2" x14ac:dyDescent="0.35">
      <c r="A745" t="s">
        <v>28</v>
      </c>
      <c r="B745" s="34">
        <v>0.56999999999999995</v>
      </c>
    </row>
    <row r="747" spans="1:2" x14ac:dyDescent="0.35">
      <c r="A747" t="s">
        <v>49</v>
      </c>
    </row>
    <row r="748" spans="1:2" x14ac:dyDescent="0.35">
      <c r="A748" t="s">
        <v>23</v>
      </c>
      <c r="B748" s="33">
        <v>12298000000</v>
      </c>
    </row>
    <row r="749" spans="1:2" x14ac:dyDescent="0.35">
      <c r="A749" t="s">
        <v>24</v>
      </c>
      <c r="B749" s="33" t="s">
        <v>35</v>
      </c>
    </row>
    <row r="750" spans="1:2" x14ac:dyDescent="0.35">
      <c r="A750" t="s">
        <v>25</v>
      </c>
      <c r="B750" s="33">
        <v>2212000000</v>
      </c>
    </row>
    <row r="751" spans="1:2" x14ac:dyDescent="0.35">
      <c r="A751" t="s">
        <v>26</v>
      </c>
      <c r="B751" s="33">
        <v>-1033000000</v>
      </c>
    </row>
    <row r="752" spans="1:2" x14ac:dyDescent="0.35">
      <c r="A752" t="s">
        <v>27</v>
      </c>
      <c r="B752" s="33">
        <v>4221000000</v>
      </c>
    </row>
    <row r="753" spans="1:2" x14ac:dyDescent="0.35">
      <c r="A753" t="s">
        <v>28</v>
      </c>
      <c r="B753" s="34" t="s">
        <v>35</v>
      </c>
    </row>
    <row r="755" spans="1:2" x14ac:dyDescent="0.35">
      <c r="A755" t="s">
        <v>50</v>
      </c>
    </row>
    <row r="756" spans="1:2" x14ac:dyDescent="0.35">
      <c r="A756" t="s">
        <v>23</v>
      </c>
      <c r="B756" s="33">
        <v>91141000000</v>
      </c>
    </row>
    <row r="757" spans="1:2" x14ac:dyDescent="0.35">
      <c r="A757" t="s">
        <v>24</v>
      </c>
      <c r="B757" s="33">
        <v>-3135000000</v>
      </c>
    </row>
    <row r="758" spans="1:2" x14ac:dyDescent="0.35">
      <c r="A758" t="s">
        <v>25</v>
      </c>
      <c r="B758" s="33">
        <v>8554000000</v>
      </c>
    </row>
    <row r="759" spans="1:2" x14ac:dyDescent="0.35">
      <c r="A759" t="s">
        <v>26</v>
      </c>
      <c r="B759" s="33">
        <v>12969000000</v>
      </c>
    </row>
    <row r="760" spans="1:2" x14ac:dyDescent="0.35">
      <c r="A760" t="s">
        <v>27</v>
      </c>
      <c r="B760" s="33">
        <v>12546000000</v>
      </c>
    </row>
    <row r="761" spans="1:2" x14ac:dyDescent="0.35">
      <c r="A761" t="s">
        <v>28</v>
      </c>
      <c r="B761" s="34">
        <v>-0.03</v>
      </c>
    </row>
    <row r="763" spans="1:2" x14ac:dyDescent="0.35">
      <c r="A763" t="s">
        <v>51</v>
      </c>
    </row>
    <row r="764" spans="1:2" x14ac:dyDescent="0.35">
      <c r="A764" t="s">
        <v>23</v>
      </c>
      <c r="B764" s="33">
        <v>3913000000</v>
      </c>
    </row>
    <row r="765" spans="1:2" x14ac:dyDescent="0.35">
      <c r="A765" t="s">
        <v>24</v>
      </c>
      <c r="B765" s="33">
        <v>6795000000</v>
      </c>
    </row>
    <row r="766" spans="1:2" x14ac:dyDescent="0.35">
      <c r="A766" t="s">
        <v>25</v>
      </c>
      <c r="B766" s="33">
        <v>1877000000</v>
      </c>
    </row>
    <row r="767" spans="1:2" x14ac:dyDescent="0.35">
      <c r="A767" t="s">
        <v>26</v>
      </c>
      <c r="B767" s="33">
        <v>2950000000</v>
      </c>
    </row>
    <row r="768" spans="1:2" x14ac:dyDescent="0.35">
      <c r="A768" t="s">
        <v>27</v>
      </c>
      <c r="B768" s="33">
        <v>2517000000</v>
      </c>
    </row>
    <row r="769" spans="1:2" x14ac:dyDescent="0.35">
      <c r="A769" t="s">
        <v>28</v>
      </c>
      <c r="B769" s="34">
        <v>1.74</v>
      </c>
    </row>
    <row r="771" spans="1:2" x14ac:dyDescent="0.35">
      <c r="A771" t="s">
        <v>40</v>
      </c>
    </row>
    <row r="772" spans="1:2" x14ac:dyDescent="0.35">
      <c r="A772" t="s">
        <v>23</v>
      </c>
      <c r="B772" s="33">
        <v>61473000000</v>
      </c>
    </row>
    <row r="773" spans="1:2" x14ac:dyDescent="0.35">
      <c r="A773" t="s">
        <v>24</v>
      </c>
      <c r="B773" s="33" t="s">
        <v>35</v>
      </c>
    </row>
    <row r="774" spans="1:2" x14ac:dyDescent="0.35">
      <c r="A774" t="s">
        <v>25</v>
      </c>
      <c r="B774" s="33">
        <v>14090000000</v>
      </c>
    </row>
    <row r="775" spans="1:2" x14ac:dyDescent="0.35">
      <c r="A775" t="s">
        <v>26</v>
      </c>
      <c r="B775" s="33">
        <v>18812000000</v>
      </c>
    </row>
    <row r="776" spans="1:2" x14ac:dyDescent="0.35">
      <c r="A776" t="s">
        <v>27</v>
      </c>
      <c r="B776" s="33">
        <v>39519000000</v>
      </c>
    </row>
    <row r="777" spans="1:2" x14ac:dyDescent="0.35">
      <c r="A777" t="s">
        <v>28</v>
      </c>
      <c r="B777" s="34" t="s">
        <v>35</v>
      </c>
    </row>
    <row r="779" spans="1:2" x14ac:dyDescent="0.35">
      <c r="A779" t="s">
        <v>36</v>
      </c>
    </row>
    <row r="780" spans="1:2" x14ac:dyDescent="0.35">
      <c r="A780" t="s">
        <v>23</v>
      </c>
      <c r="B780" s="33">
        <v>52871000000</v>
      </c>
    </row>
    <row r="781" spans="1:2" x14ac:dyDescent="0.35">
      <c r="A781" t="s">
        <v>24</v>
      </c>
      <c r="B781" s="33">
        <v>28584000000</v>
      </c>
    </row>
    <row r="782" spans="1:2" x14ac:dyDescent="0.35">
      <c r="A782" t="s">
        <v>25</v>
      </c>
      <c r="B782" s="33">
        <v>15294000000</v>
      </c>
    </row>
    <row r="783" spans="1:2" x14ac:dyDescent="0.35">
      <c r="A783" t="s">
        <v>26</v>
      </c>
      <c r="B783" s="33">
        <v>8968000000</v>
      </c>
    </row>
    <row r="784" spans="1:2" x14ac:dyDescent="0.35">
      <c r="A784" t="s">
        <v>27</v>
      </c>
      <c r="B784" s="33">
        <v>12912000000</v>
      </c>
    </row>
    <row r="785" spans="1:2" x14ac:dyDescent="0.35">
      <c r="A785" t="s">
        <v>28</v>
      </c>
      <c r="B785" s="34">
        <v>0.54</v>
      </c>
    </row>
    <row r="787" spans="1:2" x14ac:dyDescent="0.35">
      <c r="A787" t="s">
        <v>41</v>
      </c>
    </row>
    <row r="788" spans="1:2" x14ac:dyDescent="0.35">
      <c r="A788" t="s">
        <v>23</v>
      </c>
      <c r="B788" s="33">
        <v>41831000000</v>
      </c>
    </row>
    <row r="789" spans="1:2" x14ac:dyDescent="0.35">
      <c r="A789" t="s">
        <v>24</v>
      </c>
      <c r="B789" s="33">
        <v>7031000000</v>
      </c>
    </row>
    <row r="790" spans="1:2" x14ac:dyDescent="0.35">
      <c r="A790" t="s">
        <v>25</v>
      </c>
      <c r="B790" s="33">
        <v>2617000000</v>
      </c>
    </row>
    <row r="791" spans="1:2" x14ac:dyDescent="0.35">
      <c r="A791" t="s">
        <v>26</v>
      </c>
      <c r="B791" s="33">
        <v>4696000000</v>
      </c>
    </row>
    <row r="792" spans="1:2" x14ac:dyDescent="0.35">
      <c r="A792" t="s">
        <v>27</v>
      </c>
      <c r="B792" s="33">
        <v>4622000000</v>
      </c>
    </row>
    <row r="793" spans="1:2" x14ac:dyDescent="0.35">
      <c r="A793" t="s">
        <v>28</v>
      </c>
      <c r="B793" s="34">
        <v>0.17</v>
      </c>
    </row>
    <row r="795" spans="1:2" x14ac:dyDescent="0.35">
      <c r="A795" t="s">
        <v>42</v>
      </c>
    </row>
    <row r="796" spans="1:2" x14ac:dyDescent="0.35">
      <c r="A796" t="s">
        <v>23</v>
      </c>
      <c r="B796" s="33">
        <v>36118000000</v>
      </c>
    </row>
    <row r="797" spans="1:2" x14ac:dyDescent="0.35">
      <c r="A797" t="s">
        <v>24</v>
      </c>
      <c r="B797" s="33">
        <v>3057000000</v>
      </c>
    </row>
    <row r="798" spans="1:2" x14ac:dyDescent="0.35">
      <c r="A798" t="s">
        <v>25</v>
      </c>
      <c r="B798" s="33" t="s">
        <v>35</v>
      </c>
    </row>
    <row r="799" spans="1:2" x14ac:dyDescent="0.35">
      <c r="A799" t="s">
        <v>26</v>
      </c>
      <c r="B799" s="33">
        <v>1610000000</v>
      </c>
    </row>
    <row r="800" spans="1:2" x14ac:dyDescent="0.35">
      <c r="A800" t="s">
        <v>27</v>
      </c>
      <c r="B800" s="33">
        <v>3922000000</v>
      </c>
    </row>
    <row r="801" spans="1:2" x14ac:dyDescent="0.35">
      <c r="A801" t="s">
        <v>28</v>
      </c>
      <c r="B801" s="34">
        <v>0.08</v>
      </c>
    </row>
    <row r="803" spans="1:2" x14ac:dyDescent="0.35">
      <c r="A803" t="s">
        <v>37</v>
      </c>
    </row>
    <row r="804" spans="1:2" x14ac:dyDescent="0.35">
      <c r="A804" t="s">
        <v>23</v>
      </c>
      <c r="B804" s="33">
        <v>90805000000</v>
      </c>
    </row>
    <row r="805" spans="1:2" x14ac:dyDescent="0.35">
      <c r="A805" t="s">
        <v>24</v>
      </c>
      <c r="B805" s="33">
        <v>60521000000</v>
      </c>
    </row>
    <row r="806" spans="1:2" x14ac:dyDescent="0.35">
      <c r="A806" t="s">
        <v>25</v>
      </c>
      <c r="B806" s="33">
        <v>2163000000</v>
      </c>
    </row>
    <row r="807" spans="1:2" x14ac:dyDescent="0.35">
      <c r="A807" t="s">
        <v>26</v>
      </c>
      <c r="B807" s="33">
        <v>42779000000</v>
      </c>
    </row>
    <row r="808" spans="1:2" x14ac:dyDescent="0.35">
      <c r="A808" t="s">
        <v>27</v>
      </c>
      <c r="B808" s="33">
        <v>54724000000</v>
      </c>
    </row>
    <row r="809" spans="1:2" x14ac:dyDescent="0.35">
      <c r="A809" t="s">
        <v>28</v>
      </c>
      <c r="B809" s="34">
        <v>0.67</v>
      </c>
    </row>
    <row r="811" spans="1:2" x14ac:dyDescent="0.35">
      <c r="A811" t="s">
        <v>38</v>
      </c>
    </row>
    <row r="812" spans="1:2" x14ac:dyDescent="0.35">
      <c r="A812" t="s">
        <v>23</v>
      </c>
      <c r="B812" s="33">
        <v>19322000000</v>
      </c>
    </row>
    <row r="813" spans="1:2" x14ac:dyDescent="0.35">
      <c r="A813" t="s">
        <v>24</v>
      </c>
      <c r="B813" s="33">
        <v>19790000000</v>
      </c>
    </row>
    <row r="814" spans="1:2" x14ac:dyDescent="0.35">
      <c r="A814" t="s">
        <v>25</v>
      </c>
      <c r="B814" s="33">
        <v>16088000000</v>
      </c>
    </row>
    <row r="815" spans="1:2" x14ac:dyDescent="0.35">
      <c r="A815" t="s">
        <v>26</v>
      </c>
      <c r="B815" s="33">
        <v>3698000000</v>
      </c>
    </row>
    <row r="816" spans="1:2" x14ac:dyDescent="0.35">
      <c r="A816" t="s">
        <v>27</v>
      </c>
      <c r="B816" s="33" t="s">
        <v>35</v>
      </c>
    </row>
    <row r="817" spans="1:2" x14ac:dyDescent="0.35">
      <c r="A817" t="s">
        <v>28</v>
      </c>
      <c r="B817" s="34">
        <v>1.02</v>
      </c>
    </row>
    <row r="819" spans="1:2" x14ac:dyDescent="0.35">
      <c r="A819" t="s">
        <v>39</v>
      </c>
    </row>
    <row r="820" spans="1:2" x14ac:dyDescent="0.35">
      <c r="A820" t="s">
        <v>23</v>
      </c>
      <c r="B820" s="33">
        <v>265595000000</v>
      </c>
    </row>
    <row r="821" spans="1:2" x14ac:dyDescent="0.35">
      <c r="A821" t="s">
        <v>24</v>
      </c>
      <c r="B821" s="33">
        <v>146860000000</v>
      </c>
    </row>
    <row r="822" spans="1:2" x14ac:dyDescent="0.35">
      <c r="A822" t="s">
        <v>25</v>
      </c>
      <c r="B822" s="33">
        <v>20553000000</v>
      </c>
    </row>
    <row r="823" spans="1:2" x14ac:dyDescent="0.35">
      <c r="A823" t="s">
        <v>26</v>
      </c>
      <c r="B823" s="33">
        <v>81754000000</v>
      </c>
    </row>
    <row r="824" spans="1:2" x14ac:dyDescent="0.35">
      <c r="A824" t="s">
        <v>27</v>
      </c>
      <c r="B824" s="33">
        <v>113258000000</v>
      </c>
    </row>
    <row r="825" spans="1:2" x14ac:dyDescent="0.35">
      <c r="A825" t="s">
        <v>28</v>
      </c>
      <c r="B825" s="34">
        <v>0.55000000000000004</v>
      </c>
    </row>
    <row r="827" spans="1:2" x14ac:dyDescent="0.35">
      <c r="A827" t="s">
        <v>43</v>
      </c>
    </row>
    <row r="828" spans="1:2" x14ac:dyDescent="0.35">
      <c r="A828" t="s">
        <v>23</v>
      </c>
      <c r="B828" s="33">
        <v>36148000000</v>
      </c>
    </row>
    <row r="829" spans="1:2" x14ac:dyDescent="0.35">
      <c r="A829" t="s">
        <v>24</v>
      </c>
      <c r="B829" s="33">
        <v>193893000000</v>
      </c>
    </row>
    <row r="830" spans="1:2" x14ac:dyDescent="0.35">
      <c r="A830" t="s">
        <v>25</v>
      </c>
      <c r="B830" s="33" t="s">
        <v>35</v>
      </c>
    </row>
    <row r="831" spans="1:2" x14ac:dyDescent="0.35">
      <c r="A831" t="s">
        <v>26</v>
      </c>
      <c r="B831" s="33">
        <v>136162000000</v>
      </c>
    </row>
    <row r="832" spans="1:2" x14ac:dyDescent="0.35">
      <c r="A832" t="s">
        <v>27</v>
      </c>
      <c r="B832" s="33">
        <v>154562000000</v>
      </c>
    </row>
    <row r="833" spans="1:2" x14ac:dyDescent="0.35">
      <c r="A833" t="s">
        <v>28</v>
      </c>
      <c r="B833" s="34">
        <v>5.36</v>
      </c>
    </row>
    <row r="835" spans="1:2" x14ac:dyDescent="0.35">
      <c r="A835" t="s">
        <v>44</v>
      </c>
    </row>
    <row r="836" spans="1:2" x14ac:dyDescent="0.35">
      <c r="A836" t="s">
        <v>23</v>
      </c>
      <c r="B836" s="33">
        <v>343011000000</v>
      </c>
    </row>
    <row r="837" spans="1:2" x14ac:dyDescent="0.35">
      <c r="A837" t="s">
        <v>24</v>
      </c>
      <c r="B837" s="33" t="s">
        <v>35</v>
      </c>
    </row>
    <row r="838" spans="1:2" x14ac:dyDescent="0.35">
      <c r="A838" t="s">
        <v>25</v>
      </c>
      <c r="B838" s="33">
        <v>71516000000</v>
      </c>
    </row>
    <row r="839" spans="1:2" x14ac:dyDescent="0.35">
      <c r="A839" t="s">
        <v>26</v>
      </c>
      <c r="B839" s="33">
        <v>18352000000</v>
      </c>
    </row>
    <row r="840" spans="1:2" x14ac:dyDescent="0.35">
      <c r="A840" t="s">
        <v>27</v>
      </c>
      <c r="B840" s="33" t="s">
        <v>35</v>
      </c>
    </row>
    <row r="841" spans="1:2" x14ac:dyDescent="0.35">
      <c r="A841" t="s">
        <v>28</v>
      </c>
      <c r="B841" s="34" t="s">
        <v>35</v>
      </c>
    </row>
    <row r="843" spans="1:2" x14ac:dyDescent="0.35">
      <c r="A843" t="s">
        <v>45</v>
      </c>
    </row>
    <row r="844" spans="1:2" x14ac:dyDescent="0.35">
      <c r="A844" t="s">
        <v>23</v>
      </c>
      <c r="B844" s="33">
        <v>18881000000</v>
      </c>
    </row>
    <row r="845" spans="1:2" x14ac:dyDescent="0.35">
      <c r="A845" t="s">
        <v>24</v>
      </c>
      <c r="B845" s="33" t="s">
        <v>35</v>
      </c>
    </row>
    <row r="846" spans="1:2" x14ac:dyDescent="0.35">
      <c r="A846" t="s">
        <v>25</v>
      </c>
      <c r="B846" s="33">
        <v>1663000000</v>
      </c>
    </row>
    <row r="847" spans="1:2" x14ac:dyDescent="0.35">
      <c r="A847" t="s">
        <v>26</v>
      </c>
      <c r="B847" s="33">
        <v>3317000000</v>
      </c>
    </row>
    <row r="848" spans="1:2" x14ac:dyDescent="0.35">
      <c r="A848" t="s">
        <v>27</v>
      </c>
      <c r="B848" s="33">
        <v>2330000000</v>
      </c>
    </row>
    <row r="849" spans="1:2" x14ac:dyDescent="0.35">
      <c r="A849" t="s">
        <v>28</v>
      </c>
      <c r="B849" s="34" t="s">
        <v>35</v>
      </c>
    </row>
    <row r="851" spans="1:2" x14ac:dyDescent="0.35">
      <c r="A851" t="s">
        <v>46</v>
      </c>
    </row>
    <row r="852" spans="1:2" x14ac:dyDescent="0.35">
      <c r="A852" t="s">
        <v>23</v>
      </c>
      <c r="B852" s="33">
        <v>23664000000</v>
      </c>
    </row>
    <row r="853" spans="1:2" x14ac:dyDescent="0.35">
      <c r="A853" t="s">
        <v>24</v>
      </c>
      <c r="B853" s="33">
        <v>14787000000</v>
      </c>
    </row>
    <row r="854" spans="1:2" x14ac:dyDescent="0.35">
      <c r="A854" t="s">
        <v>25</v>
      </c>
      <c r="B854" s="33">
        <v>6704000000</v>
      </c>
    </row>
    <row r="855" spans="1:2" x14ac:dyDescent="0.35">
      <c r="A855" t="s">
        <v>26</v>
      </c>
      <c r="B855" s="33">
        <v>-1391000000</v>
      </c>
    </row>
    <row r="856" spans="1:2" x14ac:dyDescent="0.35">
      <c r="A856" t="s">
        <v>27</v>
      </c>
      <c r="B856" s="33">
        <v>10778000000</v>
      </c>
    </row>
    <row r="857" spans="1:2" x14ac:dyDescent="0.35">
      <c r="A857" t="s">
        <v>28</v>
      </c>
      <c r="B857" s="34">
        <v>0.62</v>
      </c>
    </row>
    <row r="859" spans="1:2" x14ac:dyDescent="0.35">
      <c r="A859" t="s">
        <v>47</v>
      </c>
    </row>
    <row r="860" spans="1:2" x14ac:dyDescent="0.35">
      <c r="A860" t="s">
        <v>23</v>
      </c>
      <c r="B860" s="33">
        <v>30818000000</v>
      </c>
    </row>
    <row r="861" spans="1:2" x14ac:dyDescent="0.35">
      <c r="A861" t="s">
        <v>24</v>
      </c>
      <c r="B861" s="33">
        <v>2786000000</v>
      </c>
    </row>
    <row r="862" spans="1:2" x14ac:dyDescent="0.35">
      <c r="A862" t="s">
        <v>25</v>
      </c>
      <c r="B862" s="33">
        <v>3287000000</v>
      </c>
    </row>
    <row r="863" spans="1:2" x14ac:dyDescent="0.35">
      <c r="A863" t="s">
        <v>26</v>
      </c>
      <c r="B863" s="33">
        <v>4411000000</v>
      </c>
    </row>
    <row r="864" spans="1:2" x14ac:dyDescent="0.35">
      <c r="A864" t="s">
        <v>27</v>
      </c>
      <c r="B864" s="33" t="s">
        <v>35</v>
      </c>
    </row>
    <row r="865" spans="1:2" x14ac:dyDescent="0.35">
      <c r="A865" t="s">
        <v>28</v>
      </c>
      <c r="B865" s="34">
        <v>0.09</v>
      </c>
    </row>
    <row r="867" spans="1:2" x14ac:dyDescent="0.35">
      <c r="A867" t="s">
        <v>48</v>
      </c>
    </row>
    <row r="868" spans="1:2" x14ac:dyDescent="0.35">
      <c r="A868" t="s">
        <v>23</v>
      </c>
      <c r="B868" s="33">
        <v>31519000000</v>
      </c>
    </row>
    <row r="869" spans="1:2" x14ac:dyDescent="0.35">
      <c r="A869" t="s">
        <v>24</v>
      </c>
      <c r="B869" s="33">
        <v>18008000000</v>
      </c>
    </row>
    <row r="870" spans="1:2" x14ac:dyDescent="0.35">
      <c r="A870" t="s">
        <v>25</v>
      </c>
      <c r="B870" s="33">
        <v>9913000000</v>
      </c>
    </row>
    <row r="871" spans="1:2" x14ac:dyDescent="0.35">
      <c r="A871" t="s">
        <v>26</v>
      </c>
      <c r="B871" s="33">
        <v>6071000000</v>
      </c>
    </row>
    <row r="872" spans="1:2" x14ac:dyDescent="0.35">
      <c r="A872" t="s">
        <v>27</v>
      </c>
      <c r="B872" s="33">
        <v>7163000000</v>
      </c>
    </row>
    <row r="873" spans="1:2" x14ac:dyDescent="0.35">
      <c r="A873" t="s">
        <v>28</v>
      </c>
      <c r="B873" s="34">
        <v>0.56999999999999995</v>
      </c>
    </row>
    <row r="875" spans="1:2" x14ac:dyDescent="0.35">
      <c r="A875" t="s">
        <v>49</v>
      </c>
    </row>
    <row r="876" spans="1:2" x14ac:dyDescent="0.35">
      <c r="A876" t="s">
        <v>23</v>
      </c>
      <c r="B876" s="33">
        <v>12298000000</v>
      </c>
    </row>
    <row r="877" spans="1:2" x14ac:dyDescent="0.35">
      <c r="A877" t="s">
        <v>24</v>
      </c>
      <c r="B877" s="33" t="s">
        <v>35</v>
      </c>
    </row>
    <row r="878" spans="1:2" x14ac:dyDescent="0.35">
      <c r="A878" t="s">
        <v>25</v>
      </c>
      <c r="B878" s="33">
        <v>2212000000</v>
      </c>
    </row>
    <row r="879" spans="1:2" x14ac:dyDescent="0.35">
      <c r="A879" t="s">
        <v>26</v>
      </c>
      <c r="B879" s="33">
        <v>-1033000000</v>
      </c>
    </row>
    <row r="880" spans="1:2" x14ac:dyDescent="0.35">
      <c r="A880" t="s">
        <v>27</v>
      </c>
      <c r="B880" s="33">
        <v>4221000000</v>
      </c>
    </row>
    <row r="881" spans="1:2" x14ac:dyDescent="0.35">
      <c r="A881" t="s">
        <v>28</v>
      </c>
      <c r="B881" s="34" t="s">
        <v>35</v>
      </c>
    </row>
    <row r="883" spans="1:2" x14ac:dyDescent="0.35">
      <c r="A883" t="s">
        <v>50</v>
      </c>
    </row>
    <row r="884" spans="1:2" x14ac:dyDescent="0.35">
      <c r="A884" t="s">
        <v>23</v>
      </c>
      <c r="B884" s="33">
        <v>91141000000</v>
      </c>
    </row>
    <row r="885" spans="1:2" x14ac:dyDescent="0.35">
      <c r="A885" t="s">
        <v>24</v>
      </c>
      <c r="B885" s="33">
        <v>-3135000000</v>
      </c>
    </row>
    <row r="886" spans="1:2" x14ac:dyDescent="0.35">
      <c r="A886" t="s">
        <v>25</v>
      </c>
      <c r="B886" s="33">
        <v>8554000000</v>
      </c>
    </row>
    <row r="887" spans="1:2" x14ac:dyDescent="0.35">
      <c r="A887" t="s">
        <v>26</v>
      </c>
      <c r="B887" s="33">
        <v>12969000000</v>
      </c>
    </row>
    <row r="888" spans="1:2" x14ac:dyDescent="0.35">
      <c r="A888" t="s">
        <v>27</v>
      </c>
      <c r="B888" s="33">
        <v>12546000000</v>
      </c>
    </row>
    <row r="889" spans="1:2" x14ac:dyDescent="0.35">
      <c r="A889" t="s">
        <v>28</v>
      </c>
      <c r="B889" s="34">
        <v>-0.03</v>
      </c>
    </row>
    <row r="891" spans="1:2" x14ac:dyDescent="0.35">
      <c r="A891" t="s">
        <v>51</v>
      </c>
    </row>
    <row r="892" spans="1:2" x14ac:dyDescent="0.35">
      <c r="A892" t="s">
        <v>23</v>
      </c>
      <c r="B892" s="33">
        <v>3913000000</v>
      </c>
    </row>
    <row r="893" spans="1:2" x14ac:dyDescent="0.35">
      <c r="A893" t="s">
        <v>24</v>
      </c>
      <c r="B893" s="33">
        <v>6795000000</v>
      </c>
    </row>
    <row r="894" spans="1:2" x14ac:dyDescent="0.35">
      <c r="A894" t="s">
        <v>25</v>
      </c>
      <c r="B894" s="33">
        <v>1877000000</v>
      </c>
    </row>
    <row r="895" spans="1:2" x14ac:dyDescent="0.35">
      <c r="A895" t="s">
        <v>26</v>
      </c>
      <c r="B895" s="33">
        <v>2950000000</v>
      </c>
    </row>
    <row r="896" spans="1:2" x14ac:dyDescent="0.35">
      <c r="A896" t="s">
        <v>27</v>
      </c>
      <c r="B896" s="33">
        <v>2517000000</v>
      </c>
    </row>
    <row r="897" spans="1:2" x14ac:dyDescent="0.35">
      <c r="A897" t="s">
        <v>28</v>
      </c>
      <c r="B897" s="34">
        <v>1.74</v>
      </c>
    </row>
    <row r="899" spans="1:2" x14ac:dyDescent="0.35">
      <c r="A899" t="s">
        <v>40</v>
      </c>
    </row>
    <row r="900" spans="1:2" x14ac:dyDescent="0.35">
      <c r="A900" t="s">
        <v>23</v>
      </c>
      <c r="B900" s="33">
        <v>61473000000</v>
      </c>
    </row>
    <row r="901" spans="1:2" x14ac:dyDescent="0.35">
      <c r="A901" t="s">
        <v>24</v>
      </c>
      <c r="B901" s="33" t="s">
        <v>35</v>
      </c>
    </row>
    <row r="902" spans="1:2" x14ac:dyDescent="0.35">
      <c r="A902" t="s">
        <v>25</v>
      </c>
      <c r="B902" s="33">
        <v>14090000000</v>
      </c>
    </row>
    <row r="903" spans="1:2" x14ac:dyDescent="0.35">
      <c r="A903" t="s">
        <v>26</v>
      </c>
      <c r="B903" s="33">
        <v>18812000000</v>
      </c>
    </row>
    <row r="904" spans="1:2" x14ac:dyDescent="0.35">
      <c r="A904" t="s">
        <v>27</v>
      </c>
      <c r="B904" s="33">
        <v>39519000000</v>
      </c>
    </row>
    <row r="905" spans="1:2" x14ac:dyDescent="0.35">
      <c r="A905" t="s">
        <v>28</v>
      </c>
      <c r="B905" s="34" t="s">
        <v>35</v>
      </c>
    </row>
    <row r="907" spans="1:2" x14ac:dyDescent="0.35">
      <c r="A907" t="s">
        <v>36</v>
      </c>
    </row>
    <row r="908" spans="1:2" x14ac:dyDescent="0.35">
      <c r="A908" t="s">
        <v>23</v>
      </c>
      <c r="B908" s="33">
        <v>52871000000</v>
      </c>
    </row>
    <row r="909" spans="1:2" x14ac:dyDescent="0.35">
      <c r="A909" t="s">
        <v>24</v>
      </c>
      <c r="B909" s="33">
        <v>28584000000</v>
      </c>
    </row>
    <row r="910" spans="1:2" x14ac:dyDescent="0.35">
      <c r="A910" t="s">
        <v>25</v>
      </c>
      <c r="B910" s="33">
        <v>15294000000</v>
      </c>
    </row>
    <row r="911" spans="1:2" x14ac:dyDescent="0.35">
      <c r="A911" t="s">
        <v>26</v>
      </c>
      <c r="B911" s="33">
        <v>8968000000</v>
      </c>
    </row>
    <row r="912" spans="1:2" x14ac:dyDescent="0.35">
      <c r="A912" t="s">
        <v>27</v>
      </c>
      <c r="B912" s="33">
        <v>12912000000</v>
      </c>
    </row>
    <row r="913" spans="1:2" x14ac:dyDescent="0.35">
      <c r="A913" t="s">
        <v>28</v>
      </c>
      <c r="B913" s="34">
        <v>0.54</v>
      </c>
    </row>
    <row r="915" spans="1:2" x14ac:dyDescent="0.35">
      <c r="A915" t="s">
        <v>41</v>
      </c>
    </row>
    <row r="916" spans="1:2" x14ac:dyDescent="0.35">
      <c r="A916" t="s">
        <v>23</v>
      </c>
      <c r="B916" s="33">
        <v>41831000000</v>
      </c>
    </row>
    <row r="917" spans="1:2" x14ac:dyDescent="0.35">
      <c r="A917" t="s">
        <v>24</v>
      </c>
      <c r="B917" s="33">
        <v>7031000000</v>
      </c>
    </row>
    <row r="918" spans="1:2" x14ac:dyDescent="0.35">
      <c r="A918" t="s">
        <v>25</v>
      </c>
      <c r="B918" s="33">
        <v>2617000000</v>
      </c>
    </row>
    <row r="919" spans="1:2" x14ac:dyDescent="0.35">
      <c r="A919" t="s">
        <v>26</v>
      </c>
      <c r="B919" s="33">
        <v>4696000000</v>
      </c>
    </row>
    <row r="920" spans="1:2" x14ac:dyDescent="0.35">
      <c r="A920" t="s">
        <v>27</v>
      </c>
      <c r="B920" s="33">
        <v>4622000000</v>
      </c>
    </row>
    <row r="921" spans="1:2" x14ac:dyDescent="0.35">
      <c r="A921" t="s">
        <v>28</v>
      </c>
      <c r="B921" s="34">
        <v>0.17</v>
      </c>
    </row>
    <row r="923" spans="1:2" x14ac:dyDescent="0.35">
      <c r="A923" t="s">
        <v>42</v>
      </c>
    </row>
    <row r="924" spans="1:2" x14ac:dyDescent="0.35">
      <c r="A924" t="s">
        <v>23</v>
      </c>
      <c r="B924" s="33">
        <v>36118000000</v>
      </c>
    </row>
    <row r="925" spans="1:2" x14ac:dyDescent="0.35">
      <c r="A925" t="s">
        <v>24</v>
      </c>
      <c r="B925" s="33">
        <v>3057000000</v>
      </c>
    </row>
    <row r="926" spans="1:2" x14ac:dyDescent="0.35">
      <c r="A926" t="s">
        <v>25</v>
      </c>
      <c r="B926" t="s">
        <v>35</v>
      </c>
    </row>
    <row r="927" spans="1:2" x14ac:dyDescent="0.35">
      <c r="A927" t="s">
        <v>26</v>
      </c>
      <c r="B927" s="33">
        <v>1610000000</v>
      </c>
    </row>
    <row r="928" spans="1:2" x14ac:dyDescent="0.35">
      <c r="A928" t="s">
        <v>27</v>
      </c>
      <c r="B928" s="33">
        <v>3922000000</v>
      </c>
    </row>
    <row r="929" spans="1:2" x14ac:dyDescent="0.35">
      <c r="A929" t="s">
        <v>28</v>
      </c>
      <c r="B929" s="34">
        <v>0.08</v>
      </c>
    </row>
    <row r="931" spans="1:2" x14ac:dyDescent="0.35">
      <c r="A931" t="s">
        <v>37</v>
      </c>
    </row>
    <row r="932" spans="1:2" x14ac:dyDescent="0.35">
      <c r="A932" t="s">
        <v>23</v>
      </c>
      <c r="B932" s="33">
        <v>90805000000</v>
      </c>
    </row>
    <row r="933" spans="1:2" x14ac:dyDescent="0.35">
      <c r="A933" t="s">
        <v>24</v>
      </c>
      <c r="B933" s="33">
        <v>60521000000</v>
      </c>
    </row>
    <row r="934" spans="1:2" x14ac:dyDescent="0.35">
      <c r="A934" t="s">
        <v>25</v>
      </c>
      <c r="B934" s="33">
        <v>2163000000</v>
      </c>
    </row>
    <row r="935" spans="1:2" x14ac:dyDescent="0.35">
      <c r="A935" t="s">
        <v>26</v>
      </c>
      <c r="B935" s="33">
        <v>42779000000</v>
      </c>
    </row>
    <row r="936" spans="1:2" x14ac:dyDescent="0.35">
      <c r="A936" t="s">
        <v>27</v>
      </c>
      <c r="B936" s="33">
        <v>54724000000</v>
      </c>
    </row>
    <row r="937" spans="1:2" x14ac:dyDescent="0.35">
      <c r="A937" t="s">
        <v>28</v>
      </c>
      <c r="B937" s="34">
        <v>0.67</v>
      </c>
    </row>
    <row r="939" spans="1:2" x14ac:dyDescent="0.35">
      <c r="A939" t="s">
        <v>38</v>
      </c>
    </row>
    <row r="940" spans="1:2" x14ac:dyDescent="0.35">
      <c r="A940" t="s">
        <v>23</v>
      </c>
      <c r="B940" s="33">
        <v>19322000000</v>
      </c>
    </row>
    <row r="941" spans="1:2" x14ac:dyDescent="0.35">
      <c r="A941" t="s">
        <v>24</v>
      </c>
      <c r="B941" s="33">
        <v>19790000000</v>
      </c>
    </row>
    <row r="942" spans="1:2" x14ac:dyDescent="0.35">
      <c r="A942" t="s">
        <v>25</v>
      </c>
      <c r="B942" s="33">
        <v>16088000000</v>
      </c>
    </row>
    <row r="943" spans="1:2" x14ac:dyDescent="0.35">
      <c r="A943" t="s">
        <v>26</v>
      </c>
      <c r="B943" s="33">
        <v>3698000000</v>
      </c>
    </row>
    <row r="944" spans="1:2" x14ac:dyDescent="0.35">
      <c r="A944" t="s">
        <v>27</v>
      </c>
      <c r="B944" s="33" t="s">
        <v>35</v>
      </c>
    </row>
    <row r="945" spans="1:2" x14ac:dyDescent="0.35">
      <c r="A945" t="s">
        <v>28</v>
      </c>
      <c r="B945" s="34">
        <v>1.02</v>
      </c>
    </row>
    <row r="947" spans="1:2" x14ac:dyDescent="0.35">
      <c r="A947" t="s">
        <v>39</v>
      </c>
    </row>
    <row r="948" spans="1:2" x14ac:dyDescent="0.35">
      <c r="A948" t="s">
        <v>23</v>
      </c>
      <c r="B948" s="33">
        <v>265595000000</v>
      </c>
    </row>
    <row r="949" spans="1:2" x14ac:dyDescent="0.35">
      <c r="A949" t="s">
        <v>24</v>
      </c>
      <c r="B949" s="33">
        <v>146860000000</v>
      </c>
    </row>
    <row r="950" spans="1:2" x14ac:dyDescent="0.35">
      <c r="A950" t="s">
        <v>25</v>
      </c>
      <c r="B950" s="33">
        <v>20553000000</v>
      </c>
    </row>
    <row r="951" spans="1:2" x14ac:dyDescent="0.35">
      <c r="A951" t="s">
        <v>26</v>
      </c>
      <c r="B951" s="33">
        <v>81754000000</v>
      </c>
    </row>
    <row r="952" spans="1:2" x14ac:dyDescent="0.35">
      <c r="A952" t="s">
        <v>27</v>
      </c>
      <c r="B952" s="33">
        <v>113258000000</v>
      </c>
    </row>
    <row r="953" spans="1:2" x14ac:dyDescent="0.35">
      <c r="A953" t="s">
        <v>28</v>
      </c>
      <c r="B953" s="34">
        <v>0.55000000000000004</v>
      </c>
    </row>
    <row r="955" spans="1:2" x14ac:dyDescent="0.35">
      <c r="A955" t="s">
        <v>43</v>
      </c>
    </row>
    <row r="956" spans="1:2" x14ac:dyDescent="0.35">
      <c r="A956" t="s">
        <v>23</v>
      </c>
      <c r="B956" s="33">
        <v>36148000000</v>
      </c>
    </row>
    <row r="957" spans="1:2" x14ac:dyDescent="0.35">
      <c r="A957" t="s">
        <v>24</v>
      </c>
      <c r="B957" s="33">
        <v>193893000000</v>
      </c>
    </row>
    <row r="958" spans="1:2" x14ac:dyDescent="0.35">
      <c r="A958" t="s">
        <v>25</v>
      </c>
      <c r="B958" s="33" t="s">
        <v>35</v>
      </c>
    </row>
    <row r="959" spans="1:2" x14ac:dyDescent="0.35">
      <c r="A959" t="s">
        <v>26</v>
      </c>
      <c r="B959" s="33">
        <v>136162000000</v>
      </c>
    </row>
    <row r="960" spans="1:2" x14ac:dyDescent="0.35">
      <c r="A960" t="s">
        <v>27</v>
      </c>
      <c r="B960" s="33">
        <v>154562000000</v>
      </c>
    </row>
    <row r="961" spans="1:2" x14ac:dyDescent="0.35">
      <c r="A961" t="s">
        <v>28</v>
      </c>
      <c r="B961" s="34">
        <v>5.36</v>
      </c>
    </row>
    <row r="963" spans="1:2" x14ac:dyDescent="0.35">
      <c r="A963" t="s">
        <v>44</v>
      </c>
    </row>
    <row r="964" spans="1:2" x14ac:dyDescent="0.35">
      <c r="A964" t="s">
        <v>23</v>
      </c>
      <c r="B964" s="33">
        <v>343011000000</v>
      </c>
    </row>
    <row r="965" spans="1:2" x14ac:dyDescent="0.35">
      <c r="A965" t="s">
        <v>24</v>
      </c>
      <c r="B965" s="33" t="s">
        <v>35</v>
      </c>
    </row>
    <row r="966" spans="1:2" x14ac:dyDescent="0.35">
      <c r="A966" t="s">
        <v>25</v>
      </c>
      <c r="B966" s="33">
        <v>71516000000</v>
      </c>
    </row>
    <row r="967" spans="1:2" x14ac:dyDescent="0.35">
      <c r="A967" t="s">
        <v>26</v>
      </c>
      <c r="B967" s="33">
        <v>18352000000</v>
      </c>
    </row>
    <row r="968" spans="1:2" x14ac:dyDescent="0.35">
      <c r="A968" t="s">
        <v>27</v>
      </c>
      <c r="B968" s="33" t="s">
        <v>35</v>
      </c>
    </row>
    <row r="969" spans="1:2" x14ac:dyDescent="0.35">
      <c r="A969" t="s">
        <v>28</v>
      </c>
      <c r="B969" s="34" t="s">
        <v>35</v>
      </c>
    </row>
    <row r="971" spans="1:2" x14ac:dyDescent="0.35">
      <c r="A971" t="s">
        <v>45</v>
      </c>
    </row>
    <row r="972" spans="1:2" x14ac:dyDescent="0.35">
      <c r="A972" t="s">
        <v>23</v>
      </c>
      <c r="B972" s="33">
        <v>18881000000</v>
      </c>
    </row>
    <row r="973" spans="1:2" x14ac:dyDescent="0.35">
      <c r="A973" t="s">
        <v>24</v>
      </c>
      <c r="B973" t="s">
        <v>35</v>
      </c>
    </row>
    <row r="974" spans="1:2" x14ac:dyDescent="0.35">
      <c r="A974" t="s">
        <v>25</v>
      </c>
      <c r="B974" s="33">
        <v>1663000000</v>
      </c>
    </row>
    <row r="975" spans="1:2" x14ac:dyDescent="0.35">
      <c r="A975" t="s">
        <v>26</v>
      </c>
      <c r="B975" s="33">
        <v>3317000000</v>
      </c>
    </row>
    <row r="976" spans="1:2" x14ac:dyDescent="0.35">
      <c r="A976" t="s">
        <v>27</v>
      </c>
      <c r="B976" s="33">
        <v>2330000000</v>
      </c>
    </row>
    <row r="977" spans="1:2" x14ac:dyDescent="0.35">
      <c r="A977" t="s">
        <v>28</v>
      </c>
      <c r="B977" t="s">
        <v>35</v>
      </c>
    </row>
    <row r="979" spans="1:2" x14ac:dyDescent="0.35">
      <c r="A979" t="s">
        <v>46</v>
      </c>
    </row>
    <row r="980" spans="1:2" x14ac:dyDescent="0.35">
      <c r="A980" t="s">
        <v>23</v>
      </c>
      <c r="B980" s="33">
        <v>23664000000</v>
      </c>
    </row>
    <row r="981" spans="1:2" x14ac:dyDescent="0.35">
      <c r="A981" t="s">
        <v>24</v>
      </c>
      <c r="B981" s="33">
        <v>14787000000</v>
      </c>
    </row>
    <row r="982" spans="1:2" x14ac:dyDescent="0.35">
      <c r="A982" t="s">
        <v>25</v>
      </c>
      <c r="B982" s="33">
        <v>6704000000</v>
      </c>
    </row>
    <row r="983" spans="1:2" x14ac:dyDescent="0.35">
      <c r="A983" t="s">
        <v>26</v>
      </c>
      <c r="B983" s="33">
        <v>-1391000000</v>
      </c>
    </row>
    <row r="984" spans="1:2" x14ac:dyDescent="0.35">
      <c r="A984" t="s">
        <v>27</v>
      </c>
      <c r="B984" s="33">
        <v>10778000000</v>
      </c>
    </row>
    <row r="985" spans="1:2" x14ac:dyDescent="0.35">
      <c r="A985" t="s">
        <v>28</v>
      </c>
      <c r="B985" s="34">
        <v>0.62</v>
      </c>
    </row>
    <row r="987" spans="1:2" x14ac:dyDescent="0.35">
      <c r="A987" t="s">
        <v>47</v>
      </c>
    </row>
    <row r="988" spans="1:2" x14ac:dyDescent="0.35">
      <c r="A988" t="s">
        <v>23</v>
      </c>
      <c r="B988" s="33">
        <v>30818000000</v>
      </c>
    </row>
    <row r="989" spans="1:2" x14ac:dyDescent="0.35">
      <c r="A989" t="s">
        <v>24</v>
      </c>
      <c r="B989" s="33">
        <v>2786000000</v>
      </c>
    </row>
    <row r="990" spans="1:2" x14ac:dyDescent="0.35">
      <c r="A990" t="s">
        <v>25</v>
      </c>
      <c r="B990" s="33">
        <v>3287000000</v>
      </c>
    </row>
    <row r="991" spans="1:2" x14ac:dyDescent="0.35">
      <c r="A991" t="s">
        <v>26</v>
      </c>
      <c r="B991" s="33">
        <v>4411000000</v>
      </c>
    </row>
    <row r="992" spans="1:2" x14ac:dyDescent="0.35">
      <c r="A992" t="s">
        <v>27</v>
      </c>
      <c r="B992" s="33" t="s">
        <v>35</v>
      </c>
    </row>
    <row r="993" spans="1:2" x14ac:dyDescent="0.35">
      <c r="A993" t="s">
        <v>28</v>
      </c>
      <c r="B993" s="34">
        <v>0.09</v>
      </c>
    </row>
    <row r="995" spans="1:2" x14ac:dyDescent="0.35">
      <c r="A995" t="s">
        <v>48</v>
      </c>
    </row>
    <row r="996" spans="1:2" x14ac:dyDescent="0.35">
      <c r="A996" t="s">
        <v>23</v>
      </c>
      <c r="B996" s="33">
        <v>31519000000</v>
      </c>
    </row>
    <row r="997" spans="1:2" x14ac:dyDescent="0.35">
      <c r="A997" t="s">
        <v>24</v>
      </c>
      <c r="B997" s="33">
        <v>18008000000</v>
      </c>
    </row>
    <row r="998" spans="1:2" x14ac:dyDescent="0.35">
      <c r="A998" t="s">
        <v>25</v>
      </c>
      <c r="B998" s="33">
        <v>9913000000</v>
      </c>
    </row>
    <row r="999" spans="1:2" x14ac:dyDescent="0.35">
      <c r="A999" t="s">
        <v>26</v>
      </c>
      <c r="B999" s="33">
        <v>6071000000</v>
      </c>
    </row>
    <row r="1000" spans="1:2" x14ac:dyDescent="0.35">
      <c r="A1000" t="s">
        <v>27</v>
      </c>
      <c r="B1000" s="33">
        <v>7163000000</v>
      </c>
    </row>
    <row r="1001" spans="1:2" x14ac:dyDescent="0.35">
      <c r="A1001" t="s">
        <v>28</v>
      </c>
      <c r="B1001" s="34">
        <v>0.56999999999999995</v>
      </c>
    </row>
    <row r="1003" spans="1:2" x14ac:dyDescent="0.35">
      <c r="A1003" t="s">
        <v>49</v>
      </c>
    </row>
    <row r="1004" spans="1:2" x14ac:dyDescent="0.35">
      <c r="A1004" t="s">
        <v>23</v>
      </c>
      <c r="B1004" s="33">
        <v>12298000000</v>
      </c>
    </row>
    <row r="1005" spans="1:2" x14ac:dyDescent="0.35">
      <c r="A1005" t="s">
        <v>24</v>
      </c>
      <c r="B1005" t="s">
        <v>35</v>
      </c>
    </row>
    <row r="1006" spans="1:2" x14ac:dyDescent="0.35">
      <c r="A1006" t="s">
        <v>25</v>
      </c>
      <c r="B1006" s="33">
        <v>2212000000</v>
      </c>
    </row>
    <row r="1007" spans="1:2" x14ac:dyDescent="0.35">
      <c r="A1007" t="s">
        <v>26</v>
      </c>
      <c r="B1007" s="33">
        <v>-1033000000</v>
      </c>
    </row>
    <row r="1008" spans="1:2" x14ac:dyDescent="0.35">
      <c r="A1008" t="s">
        <v>27</v>
      </c>
      <c r="B1008" s="33">
        <v>4221000000</v>
      </c>
    </row>
    <row r="1009" spans="1:2" x14ac:dyDescent="0.35">
      <c r="A1009" t="s">
        <v>28</v>
      </c>
      <c r="B1009" t="s">
        <v>35</v>
      </c>
    </row>
    <row r="1011" spans="1:2" x14ac:dyDescent="0.35">
      <c r="A1011" t="s">
        <v>50</v>
      </c>
    </row>
    <row r="1012" spans="1:2" x14ac:dyDescent="0.35">
      <c r="A1012" t="s">
        <v>23</v>
      </c>
      <c r="B1012" s="33">
        <v>91141000000</v>
      </c>
    </row>
    <row r="1013" spans="1:2" x14ac:dyDescent="0.35">
      <c r="A1013" t="s">
        <v>24</v>
      </c>
      <c r="B1013" s="33">
        <v>-3135000000</v>
      </c>
    </row>
    <row r="1014" spans="1:2" x14ac:dyDescent="0.35">
      <c r="A1014" t="s">
        <v>25</v>
      </c>
      <c r="B1014" s="33">
        <v>8554000000</v>
      </c>
    </row>
    <row r="1015" spans="1:2" x14ac:dyDescent="0.35">
      <c r="A1015" t="s">
        <v>26</v>
      </c>
      <c r="B1015" s="33">
        <v>12969000000</v>
      </c>
    </row>
    <row r="1016" spans="1:2" x14ac:dyDescent="0.35">
      <c r="A1016" t="s">
        <v>27</v>
      </c>
      <c r="B1016" s="33">
        <v>12546000000</v>
      </c>
    </row>
    <row r="1017" spans="1:2" x14ac:dyDescent="0.35">
      <c r="A1017" t="s">
        <v>28</v>
      </c>
      <c r="B1017" s="34">
        <v>-0.03</v>
      </c>
    </row>
    <row r="1019" spans="1:2" x14ac:dyDescent="0.35">
      <c r="A1019" t="s">
        <v>51</v>
      </c>
    </row>
    <row r="1020" spans="1:2" x14ac:dyDescent="0.35">
      <c r="A1020" t="s">
        <v>23</v>
      </c>
      <c r="B1020" s="33">
        <v>3913000000</v>
      </c>
    </row>
    <row r="1021" spans="1:2" x14ac:dyDescent="0.35">
      <c r="A1021" t="s">
        <v>24</v>
      </c>
      <c r="B1021" s="33">
        <v>6795000000</v>
      </c>
    </row>
    <row r="1022" spans="1:2" x14ac:dyDescent="0.35">
      <c r="A1022" t="s">
        <v>25</v>
      </c>
      <c r="B1022" s="33">
        <v>1877000000</v>
      </c>
    </row>
    <row r="1023" spans="1:2" x14ac:dyDescent="0.35">
      <c r="A1023" t="s">
        <v>26</v>
      </c>
      <c r="B1023" s="33">
        <v>2950000000</v>
      </c>
    </row>
    <row r="1024" spans="1:2" x14ac:dyDescent="0.35">
      <c r="A1024" t="s">
        <v>27</v>
      </c>
      <c r="B1024" s="33">
        <v>2517000000</v>
      </c>
    </row>
    <row r="1025" spans="1:2" x14ac:dyDescent="0.35">
      <c r="A1025" t="s">
        <v>28</v>
      </c>
      <c r="B1025" s="34">
        <v>1.74</v>
      </c>
    </row>
    <row r="1027" spans="1:2" x14ac:dyDescent="0.35">
      <c r="A1027" t="s">
        <v>40</v>
      </c>
    </row>
    <row r="1028" spans="1:2" x14ac:dyDescent="0.35">
      <c r="A1028" t="s">
        <v>23</v>
      </c>
      <c r="B1028" s="33">
        <v>61473000000</v>
      </c>
    </row>
    <row r="1029" spans="1:2" x14ac:dyDescent="0.35">
      <c r="A1029" t="s">
        <v>24</v>
      </c>
      <c r="B1029" t="s">
        <v>35</v>
      </c>
    </row>
    <row r="1030" spans="1:2" x14ac:dyDescent="0.35">
      <c r="A1030" t="s">
        <v>25</v>
      </c>
      <c r="B1030" s="33">
        <v>14090000000</v>
      </c>
    </row>
    <row r="1031" spans="1:2" x14ac:dyDescent="0.35">
      <c r="A1031" t="s">
        <v>26</v>
      </c>
      <c r="B1031" s="33">
        <v>18812000000</v>
      </c>
    </row>
    <row r="1032" spans="1:2" x14ac:dyDescent="0.35">
      <c r="A1032" t="s">
        <v>27</v>
      </c>
      <c r="B1032" s="33">
        <v>39519000000</v>
      </c>
    </row>
    <row r="1033" spans="1:2" x14ac:dyDescent="0.35">
      <c r="A1033" t="s">
        <v>28</v>
      </c>
      <c r="B1033" t="s">
        <v>35</v>
      </c>
    </row>
    <row r="1035" spans="1:2" x14ac:dyDescent="0.35">
      <c r="A1035" t="s">
        <v>36</v>
      </c>
    </row>
    <row r="1036" spans="1:2" x14ac:dyDescent="0.35">
      <c r="A1036" t="s">
        <v>23</v>
      </c>
      <c r="B1036" s="33">
        <v>52871000000</v>
      </c>
    </row>
    <row r="1037" spans="1:2" x14ac:dyDescent="0.35">
      <c r="A1037" t="s">
        <v>24</v>
      </c>
      <c r="B1037" s="33">
        <v>28584000000</v>
      </c>
    </row>
    <row r="1038" spans="1:2" x14ac:dyDescent="0.35">
      <c r="A1038" t="s">
        <v>25</v>
      </c>
      <c r="B1038" s="33">
        <v>15294000000</v>
      </c>
    </row>
    <row r="1039" spans="1:2" x14ac:dyDescent="0.35">
      <c r="A1039" t="s">
        <v>26</v>
      </c>
      <c r="B1039" s="33">
        <v>8968000000</v>
      </c>
    </row>
    <row r="1040" spans="1:2" x14ac:dyDescent="0.35">
      <c r="A1040" t="s">
        <v>27</v>
      </c>
      <c r="B1040" s="33">
        <v>12912000000</v>
      </c>
    </row>
    <row r="1041" spans="1:2" x14ac:dyDescent="0.35">
      <c r="A1041" t="s">
        <v>28</v>
      </c>
      <c r="B1041" s="34">
        <v>0.54</v>
      </c>
    </row>
    <row r="1043" spans="1:2" x14ac:dyDescent="0.35">
      <c r="A1043" t="s">
        <v>41</v>
      </c>
    </row>
    <row r="1044" spans="1:2" x14ac:dyDescent="0.35">
      <c r="A1044" t="s">
        <v>23</v>
      </c>
      <c r="B1044" s="33">
        <v>41831000000</v>
      </c>
    </row>
    <row r="1045" spans="1:2" x14ac:dyDescent="0.35">
      <c r="A1045" t="s">
        <v>24</v>
      </c>
      <c r="B1045" s="33">
        <v>7031000000</v>
      </c>
    </row>
    <row r="1046" spans="1:2" x14ac:dyDescent="0.35">
      <c r="A1046" t="s">
        <v>25</v>
      </c>
      <c r="B1046" s="33">
        <v>2617000000</v>
      </c>
    </row>
    <row r="1047" spans="1:2" x14ac:dyDescent="0.35">
      <c r="A1047" t="s">
        <v>26</v>
      </c>
      <c r="B1047" s="33">
        <v>4696000000</v>
      </c>
    </row>
    <row r="1048" spans="1:2" x14ac:dyDescent="0.35">
      <c r="A1048" t="s">
        <v>27</v>
      </c>
      <c r="B1048" s="33">
        <v>4622000000</v>
      </c>
    </row>
    <row r="1049" spans="1:2" x14ac:dyDescent="0.35">
      <c r="A1049" t="s">
        <v>28</v>
      </c>
      <c r="B1049" s="34">
        <v>0.17</v>
      </c>
    </row>
    <row r="1051" spans="1:2" x14ac:dyDescent="0.35">
      <c r="A1051" t="s">
        <v>42</v>
      </c>
    </row>
    <row r="1052" spans="1:2" x14ac:dyDescent="0.35">
      <c r="A1052" t="s">
        <v>23</v>
      </c>
      <c r="B1052" s="33">
        <v>36118000000</v>
      </c>
    </row>
    <row r="1053" spans="1:2" x14ac:dyDescent="0.35">
      <c r="A1053" t="s">
        <v>24</v>
      </c>
      <c r="B1053" s="33">
        <v>3057000000</v>
      </c>
    </row>
    <row r="1054" spans="1:2" x14ac:dyDescent="0.35">
      <c r="A1054" t="s">
        <v>25</v>
      </c>
      <c r="B1054" t="s">
        <v>35</v>
      </c>
    </row>
    <row r="1055" spans="1:2" x14ac:dyDescent="0.35">
      <c r="A1055" t="s">
        <v>26</v>
      </c>
      <c r="B1055" s="33">
        <v>1610000000</v>
      </c>
    </row>
    <row r="1056" spans="1:2" x14ac:dyDescent="0.35">
      <c r="A1056" t="s">
        <v>27</v>
      </c>
      <c r="B1056" s="33">
        <v>3922000000</v>
      </c>
    </row>
    <row r="1057" spans="1:2" x14ac:dyDescent="0.35">
      <c r="A1057" t="s">
        <v>28</v>
      </c>
      <c r="B1057" s="34">
        <v>0.08</v>
      </c>
    </row>
    <row r="1059" spans="1:2" x14ac:dyDescent="0.35">
      <c r="A1059" t="s">
        <v>37</v>
      </c>
    </row>
    <row r="1060" spans="1:2" x14ac:dyDescent="0.35">
      <c r="A1060" t="s">
        <v>23</v>
      </c>
      <c r="B1060" s="33">
        <v>90805000000</v>
      </c>
    </row>
    <row r="1061" spans="1:2" x14ac:dyDescent="0.35">
      <c r="A1061" t="s">
        <v>24</v>
      </c>
      <c r="B1061" s="33">
        <v>60521000000</v>
      </c>
    </row>
    <row r="1062" spans="1:2" x14ac:dyDescent="0.35">
      <c r="A1062" t="s">
        <v>25</v>
      </c>
      <c r="B1062" s="33">
        <v>2163000000</v>
      </c>
    </row>
    <row r="1063" spans="1:2" x14ac:dyDescent="0.35">
      <c r="A1063" t="s">
        <v>26</v>
      </c>
      <c r="B1063" s="33">
        <v>42779000000</v>
      </c>
    </row>
    <row r="1064" spans="1:2" x14ac:dyDescent="0.35">
      <c r="A1064" t="s">
        <v>27</v>
      </c>
      <c r="B1064" s="33">
        <v>54724000000</v>
      </c>
    </row>
    <row r="1065" spans="1:2" x14ac:dyDescent="0.35">
      <c r="A1065" t="s">
        <v>28</v>
      </c>
      <c r="B1065" s="34">
        <v>0.67</v>
      </c>
    </row>
    <row r="1067" spans="1:2" x14ac:dyDescent="0.35">
      <c r="A1067" t="s">
        <v>38</v>
      </c>
    </row>
    <row r="1068" spans="1:2" x14ac:dyDescent="0.35">
      <c r="A1068" t="s">
        <v>23</v>
      </c>
      <c r="B1068" s="33">
        <v>19322000000</v>
      </c>
    </row>
    <row r="1069" spans="1:2" x14ac:dyDescent="0.35">
      <c r="A1069" t="s">
        <v>24</v>
      </c>
      <c r="B1069" s="33">
        <v>19790000000</v>
      </c>
    </row>
    <row r="1070" spans="1:2" x14ac:dyDescent="0.35">
      <c r="A1070" t="s">
        <v>25</v>
      </c>
      <c r="B1070" s="33">
        <v>16088000000</v>
      </c>
    </row>
    <row r="1071" spans="1:2" x14ac:dyDescent="0.35">
      <c r="A1071" t="s">
        <v>26</v>
      </c>
      <c r="B1071" s="33">
        <v>3698000000</v>
      </c>
    </row>
    <row r="1072" spans="1:2" x14ac:dyDescent="0.35">
      <c r="A1072" t="s">
        <v>27</v>
      </c>
      <c r="B1072" t="s">
        <v>35</v>
      </c>
    </row>
    <row r="1073" spans="1:2" x14ac:dyDescent="0.35">
      <c r="A1073" t="s">
        <v>28</v>
      </c>
      <c r="B1073" s="34">
        <v>1.02</v>
      </c>
    </row>
    <row r="1075" spans="1:2" x14ac:dyDescent="0.35">
      <c r="A1075" t="s">
        <v>39</v>
      </c>
    </row>
    <row r="1076" spans="1:2" x14ac:dyDescent="0.35">
      <c r="A1076" t="s">
        <v>23</v>
      </c>
      <c r="B1076" s="33">
        <v>265595000000</v>
      </c>
    </row>
    <row r="1077" spans="1:2" x14ac:dyDescent="0.35">
      <c r="A1077" t="s">
        <v>24</v>
      </c>
      <c r="B1077" s="33">
        <v>146860000000</v>
      </c>
    </row>
    <row r="1078" spans="1:2" x14ac:dyDescent="0.35">
      <c r="A1078" t="s">
        <v>25</v>
      </c>
      <c r="B1078" s="33">
        <v>20553000000</v>
      </c>
    </row>
    <row r="1079" spans="1:2" x14ac:dyDescent="0.35">
      <c r="A1079" t="s">
        <v>26</v>
      </c>
      <c r="B1079" s="33">
        <v>81754000000</v>
      </c>
    </row>
    <row r="1080" spans="1:2" x14ac:dyDescent="0.35">
      <c r="A1080" t="s">
        <v>27</v>
      </c>
      <c r="B1080" s="33">
        <v>113258000000</v>
      </c>
    </row>
    <row r="1081" spans="1:2" x14ac:dyDescent="0.35">
      <c r="A1081" t="s">
        <v>28</v>
      </c>
      <c r="B1081" s="34">
        <v>0.55000000000000004</v>
      </c>
    </row>
    <row r="1083" spans="1:2" x14ac:dyDescent="0.35">
      <c r="A1083" t="s">
        <v>43</v>
      </c>
    </row>
    <row r="1084" spans="1:2" x14ac:dyDescent="0.35">
      <c r="A1084" t="s">
        <v>23</v>
      </c>
      <c r="B1084" s="33">
        <v>36148000000</v>
      </c>
    </row>
    <row r="1085" spans="1:2" x14ac:dyDescent="0.35">
      <c r="A1085" t="s">
        <v>24</v>
      </c>
      <c r="B1085" s="33">
        <v>193893000000</v>
      </c>
    </row>
    <row r="1086" spans="1:2" x14ac:dyDescent="0.35">
      <c r="A1086" t="s">
        <v>25</v>
      </c>
      <c r="B1086" t="s">
        <v>35</v>
      </c>
    </row>
    <row r="1087" spans="1:2" x14ac:dyDescent="0.35">
      <c r="A1087" t="s">
        <v>26</v>
      </c>
      <c r="B1087" s="33">
        <v>136162000000</v>
      </c>
    </row>
    <row r="1088" spans="1:2" x14ac:dyDescent="0.35">
      <c r="A1088" t="s">
        <v>27</v>
      </c>
      <c r="B1088" s="33">
        <v>154562000000</v>
      </c>
    </row>
    <row r="1089" spans="1:2" x14ac:dyDescent="0.35">
      <c r="A1089" t="s">
        <v>28</v>
      </c>
      <c r="B1089" s="34">
        <v>5.36</v>
      </c>
    </row>
    <row r="1091" spans="1:2" x14ac:dyDescent="0.35">
      <c r="A1091" t="s">
        <v>44</v>
      </c>
    </row>
    <row r="1092" spans="1:2" x14ac:dyDescent="0.35">
      <c r="A1092" t="s">
        <v>23</v>
      </c>
      <c r="B1092" s="33">
        <v>343011000000</v>
      </c>
    </row>
    <row r="1093" spans="1:2" x14ac:dyDescent="0.35">
      <c r="A1093" t="s">
        <v>24</v>
      </c>
      <c r="B1093" t="s">
        <v>35</v>
      </c>
    </row>
    <row r="1094" spans="1:2" x14ac:dyDescent="0.35">
      <c r="A1094" t="s">
        <v>25</v>
      </c>
      <c r="B1094" s="33">
        <v>71516000000</v>
      </c>
    </row>
    <row r="1095" spans="1:2" x14ac:dyDescent="0.35">
      <c r="A1095" t="s">
        <v>26</v>
      </c>
      <c r="B1095" s="33">
        <v>18352000000</v>
      </c>
    </row>
    <row r="1096" spans="1:2" x14ac:dyDescent="0.35">
      <c r="A1096" t="s">
        <v>27</v>
      </c>
      <c r="B1096" t="s">
        <v>35</v>
      </c>
    </row>
    <row r="1097" spans="1:2" x14ac:dyDescent="0.35">
      <c r="A1097" t="s">
        <v>28</v>
      </c>
      <c r="B1097" t="s">
        <v>35</v>
      </c>
    </row>
    <row r="1099" spans="1:2" x14ac:dyDescent="0.35">
      <c r="A1099" t="s">
        <v>45</v>
      </c>
    </row>
    <row r="1100" spans="1:2" x14ac:dyDescent="0.35">
      <c r="A1100" t="s">
        <v>23</v>
      </c>
      <c r="B1100" s="33">
        <v>18881000000</v>
      </c>
    </row>
    <row r="1101" spans="1:2" x14ac:dyDescent="0.35">
      <c r="A1101" t="s">
        <v>24</v>
      </c>
      <c r="B1101" t="s">
        <v>35</v>
      </c>
    </row>
    <row r="1102" spans="1:2" x14ac:dyDescent="0.35">
      <c r="A1102" t="s">
        <v>25</v>
      </c>
      <c r="B1102" s="33">
        <v>1663000000</v>
      </c>
    </row>
    <row r="1103" spans="1:2" x14ac:dyDescent="0.35">
      <c r="A1103" t="s">
        <v>26</v>
      </c>
      <c r="B1103" s="33">
        <v>3317000000</v>
      </c>
    </row>
    <row r="1104" spans="1:2" x14ac:dyDescent="0.35">
      <c r="A1104" t="s">
        <v>27</v>
      </c>
      <c r="B1104" s="33">
        <v>2330000000</v>
      </c>
    </row>
    <row r="1105" spans="1:2" x14ac:dyDescent="0.35">
      <c r="A1105" t="s">
        <v>28</v>
      </c>
      <c r="B1105" t="s">
        <v>35</v>
      </c>
    </row>
    <row r="1107" spans="1:2" x14ac:dyDescent="0.35">
      <c r="A1107" t="s">
        <v>46</v>
      </c>
    </row>
    <row r="1108" spans="1:2" x14ac:dyDescent="0.35">
      <c r="A1108" t="s">
        <v>23</v>
      </c>
      <c r="B1108" s="33">
        <v>23664000000</v>
      </c>
    </row>
    <row r="1109" spans="1:2" x14ac:dyDescent="0.35">
      <c r="A1109" t="s">
        <v>24</v>
      </c>
      <c r="B1109" s="33">
        <v>14787000000</v>
      </c>
    </row>
    <row r="1110" spans="1:2" x14ac:dyDescent="0.35">
      <c r="A1110" t="s">
        <v>25</v>
      </c>
      <c r="B1110" s="33">
        <v>6704000000</v>
      </c>
    </row>
    <row r="1111" spans="1:2" x14ac:dyDescent="0.35">
      <c r="A1111" t="s">
        <v>26</v>
      </c>
      <c r="B1111" s="33">
        <v>-1391000000</v>
      </c>
    </row>
    <row r="1112" spans="1:2" x14ac:dyDescent="0.35">
      <c r="A1112" t="s">
        <v>27</v>
      </c>
      <c r="B1112" s="33">
        <v>10778000000</v>
      </c>
    </row>
    <row r="1113" spans="1:2" x14ac:dyDescent="0.35">
      <c r="A1113" t="s">
        <v>28</v>
      </c>
      <c r="B1113" s="34">
        <v>0.62</v>
      </c>
    </row>
    <row r="1115" spans="1:2" x14ac:dyDescent="0.35">
      <c r="A1115" t="s">
        <v>47</v>
      </c>
    </row>
    <row r="1116" spans="1:2" x14ac:dyDescent="0.35">
      <c r="A1116" t="s">
        <v>23</v>
      </c>
      <c r="B1116" s="33">
        <v>30818000000</v>
      </c>
    </row>
    <row r="1117" spans="1:2" x14ac:dyDescent="0.35">
      <c r="A1117" t="s">
        <v>24</v>
      </c>
      <c r="B1117" s="33">
        <v>2786000000</v>
      </c>
    </row>
    <row r="1118" spans="1:2" x14ac:dyDescent="0.35">
      <c r="A1118" t="s">
        <v>25</v>
      </c>
      <c r="B1118" s="33">
        <v>3287000000</v>
      </c>
    </row>
    <row r="1119" spans="1:2" x14ac:dyDescent="0.35">
      <c r="A1119" t="s">
        <v>26</v>
      </c>
      <c r="B1119" s="33">
        <v>4411000000</v>
      </c>
    </row>
    <row r="1120" spans="1:2" x14ac:dyDescent="0.35">
      <c r="A1120" t="s">
        <v>27</v>
      </c>
      <c r="B1120" t="s">
        <v>35</v>
      </c>
    </row>
    <row r="1121" spans="1:2" x14ac:dyDescent="0.35">
      <c r="A1121" t="s">
        <v>28</v>
      </c>
      <c r="B1121" s="34">
        <v>0.09</v>
      </c>
    </row>
    <row r="1123" spans="1:2" x14ac:dyDescent="0.35">
      <c r="A1123" t="s">
        <v>48</v>
      </c>
    </row>
    <row r="1124" spans="1:2" x14ac:dyDescent="0.35">
      <c r="A1124" t="s">
        <v>23</v>
      </c>
      <c r="B1124" s="33">
        <v>31519000000</v>
      </c>
    </row>
    <row r="1125" spans="1:2" x14ac:dyDescent="0.35">
      <c r="A1125" t="s">
        <v>24</v>
      </c>
      <c r="B1125" s="33">
        <v>18008000000</v>
      </c>
    </row>
    <row r="1126" spans="1:2" x14ac:dyDescent="0.35">
      <c r="A1126" t="s">
        <v>25</v>
      </c>
      <c r="B1126" s="33">
        <v>9913000000</v>
      </c>
    </row>
    <row r="1127" spans="1:2" x14ac:dyDescent="0.35">
      <c r="A1127" t="s">
        <v>26</v>
      </c>
      <c r="B1127" s="33">
        <v>6071000000</v>
      </c>
    </row>
    <row r="1128" spans="1:2" x14ac:dyDescent="0.35">
      <c r="A1128" t="s">
        <v>27</v>
      </c>
      <c r="B1128" s="33">
        <v>7163000000</v>
      </c>
    </row>
    <row r="1129" spans="1:2" x14ac:dyDescent="0.35">
      <c r="A1129" t="s">
        <v>28</v>
      </c>
      <c r="B1129" s="34">
        <v>0.56999999999999995</v>
      </c>
    </row>
    <row r="1131" spans="1:2" x14ac:dyDescent="0.35">
      <c r="A1131" t="s">
        <v>49</v>
      </c>
    </row>
    <row r="1132" spans="1:2" x14ac:dyDescent="0.35">
      <c r="A1132" t="s">
        <v>23</v>
      </c>
      <c r="B1132" s="33">
        <v>12298000000</v>
      </c>
    </row>
    <row r="1133" spans="1:2" x14ac:dyDescent="0.35">
      <c r="A1133" t="s">
        <v>24</v>
      </c>
      <c r="B1133" t="s">
        <v>35</v>
      </c>
    </row>
    <row r="1134" spans="1:2" x14ac:dyDescent="0.35">
      <c r="A1134" t="s">
        <v>25</v>
      </c>
      <c r="B1134" s="33">
        <v>2212000000</v>
      </c>
    </row>
    <row r="1135" spans="1:2" x14ac:dyDescent="0.35">
      <c r="A1135" t="s">
        <v>26</v>
      </c>
      <c r="B1135" s="33">
        <v>-1033000000</v>
      </c>
    </row>
    <row r="1136" spans="1:2" x14ac:dyDescent="0.35">
      <c r="A1136" t="s">
        <v>27</v>
      </c>
      <c r="B1136" s="33">
        <v>4221000000</v>
      </c>
    </row>
    <row r="1137" spans="1:2" x14ac:dyDescent="0.35">
      <c r="A1137" t="s">
        <v>28</v>
      </c>
      <c r="B1137" t="s">
        <v>35</v>
      </c>
    </row>
    <row r="1139" spans="1:2" x14ac:dyDescent="0.35">
      <c r="A1139" t="s">
        <v>50</v>
      </c>
    </row>
    <row r="1140" spans="1:2" x14ac:dyDescent="0.35">
      <c r="A1140" t="s">
        <v>23</v>
      </c>
      <c r="B1140" s="33">
        <v>91141000000</v>
      </c>
    </row>
    <row r="1141" spans="1:2" x14ac:dyDescent="0.35">
      <c r="A1141" t="s">
        <v>24</v>
      </c>
      <c r="B1141" s="33">
        <v>-3135000000</v>
      </c>
    </row>
    <row r="1142" spans="1:2" x14ac:dyDescent="0.35">
      <c r="A1142" t="s">
        <v>25</v>
      </c>
      <c r="B1142" s="33">
        <v>8554000000</v>
      </c>
    </row>
    <row r="1143" spans="1:2" x14ac:dyDescent="0.35">
      <c r="A1143" t="s">
        <v>26</v>
      </c>
      <c r="B1143" s="33">
        <v>12969000000</v>
      </c>
    </row>
    <row r="1144" spans="1:2" x14ac:dyDescent="0.35">
      <c r="A1144" t="s">
        <v>27</v>
      </c>
      <c r="B1144" s="33">
        <v>12546000000</v>
      </c>
    </row>
    <row r="1145" spans="1:2" x14ac:dyDescent="0.35">
      <c r="A1145" t="s">
        <v>28</v>
      </c>
      <c r="B1145" s="34">
        <v>-0.03</v>
      </c>
    </row>
    <row r="1147" spans="1:2" x14ac:dyDescent="0.35">
      <c r="A1147" t="s">
        <v>51</v>
      </c>
    </row>
    <row r="1148" spans="1:2" x14ac:dyDescent="0.35">
      <c r="A1148" t="s">
        <v>23</v>
      </c>
      <c r="B1148" s="33">
        <v>3913000000</v>
      </c>
    </row>
    <row r="1149" spans="1:2" x14ac:dyDescent="0.35">
      <c r="A1149" t="s">
        <v>24</v>
      </c>
      <c r="B1149" s="33">
        <v>6795000000</v>
      </c>
    </row>
    <row r="1150" spans="1:2" x14ac:dyDescent="0.35">
      <c r="A1150" t="s">
        <v>25</v>
      </c>
      <c r="B1150" s="33">
        <v>1877000000</v>
      </c>
    </row>
    <row r="1151" spans="1:2" x14ac:dyDescent="0.35">
      <c r="A1151" t="s">
        <v>26</v>
      </c>
      <c r="B1151" s="33">
        <v>2950000000</v>
      </c>
    </row>
    <row r="1152" spans="1:2" x14ac:dyDescent="0.35">
      <c r="A1152" t="s">
        <v>27</v>
      </c>
      <c r="B1152" s="33">
        <v>2517000000</v>
      </c>
    </row>
    <row r="1153" spans="1:2" x14ac:dyDescent="0.35">
      <c r="A1153" t="s">
        <v>28</v>
      </c>
      <c r="B1153" s="34">
        <v>1.74</v>
      </c>
    </row>
    <row r="1155" spans="1:2" x14ac:dyDescent="0.35">
      <c r="A1155" t="s">
        <v>40</v>
      </c>
    </row>
    <row r="1156" spans="1:2" x14ac:dyDescent="0.35">
      <c r="A1156" t="s">
        <v>23</v>
      </c>
      <c r="B1156" s="33">
        <v>61473000000</v>
      </c>
    </row>
    <row r="1157" spans="1:2" x14ac:dyDescent="0.35">
      <c r="A1157" t="s">
        <v>24</v>
      </c>
      <c r="B1157" t="s">
        <v>35</v>
      </c>
    </row>
    <row r="1158" spans="1:2" x14ac:dyDescent="0.35">
      <c r="A1158" t="s">
        <v>25</v>
      </c>
      <c r="B1158" s="33">
        <v>14090000000</v>
      </c>
    </row>
    <row r="1159" spans="1:2" x14ac:dyDescent="0.35">
      <c r="A1159" t="s">
        <v>26</v>
      </c>
      <c r="B1159" s="33">
        <v>18812000000</v>
      </c>
    </row>
    <row r="1160" spans="1:2" x14ac:dyDescent="0.35">
      <c r="A1160" t="s">
        <v>27</v>
      </c>
      <c r="B1160" s="33">
        <v>39519000000</v>
      </c>
    </row>
    <row r="1161" spans="1:2" x14ac:dyDescent="0.35">
      <c r="A1161" t="s">
        <v>28</v>
      </c>
      <c r="B1161" t="s">
        <v>35</v>
      </c>
    </row>
    <row r="1163" spans="1:2" x14ac:dyDescent="0.35">
      <c r="A1163" t="s">
        <v>36</v>
      </c>
    </row>
    <row r="1164" spans="1:2" x14ac:dyDescent="0.35">
      <c r="A1164" t="s">
        <v>23</v>
      </c>
      <c r="B1164" s="33">
        <v>52871000000</v>
      </c>
    </row>
    <row r="1165" spans="1:2" x14ac:dyDescent="0.35">
      <c r="A1165" t="s">
        <v>24</v>
      </c>
      <c r="B1165" s="33">
        <v>28584000000</v>
      </c>
    </row>
    <row r="1166" spans="1:2" x14ac:dyDescent="0.35">
      <c r="A1166" t="s">
        <v>25</v>
      </c>
      <c r="B1166" s="33">
        <v>15294000000</v>
      </c>
    </row>
    <row r="1167" spans="1:2" x14ac:dyDescent="0.35">
      <c r="A1167" t="s">
        <v>26</v>
      </c>
      <c r="B1167" s="33">
        <v>8968000000</v>
      </c>
    </row>
    <row r="1168" spans="1:2" x14ac:dyDescent="0.35">
      <c r="A1168" t="s">
        <v>27</v>
      </c>
      <c r="B1168" s="33">
        <v>12912000000</v>
      </c>
    </row>
    <row r="1169" spans="1:2" x14ac:dyDescent="0.35">
      <c r="A1169" t="s">
        <v>28</v>
      </c>
      <c r="B1169" s="34">
        <v>0.54</v>
      </c>
    </row>
    <row r="1171" spans="1:2" x14ac:dyDescent="0.35">
      <c r="A1171" t="s">
        <v>41</v>
      </c>
    </row>
    <row r="1172" spans="1:2" x14ac:dyDescent="0.35">
      <c r="A1172" t="s">
        <v>23</v>
      </c>
      <c r="B1172" s="33">
        <v>41831000000</v>
      </c>
    </row>
    <row r="1173" spans="1:2" x14ac:dyDescent="0.35">
      <c r="A1173" t="s">
        <v>24</v>
      </c>
      <c r="B1173" s="33">
        <v>7031000000</v>
      </c>
    </row>
    <row r="1174" spans="1:2" x14ac:dyDescent="0.35">
      <c r="A1174" t="s">
        <v>25</v>
      </c>
      <c r="B1174" s="33">
        <v>2617000000</v>
      </c>
    </row>
    <row r="1175" spans="1:2" x14ac:dyDescent="0.35">
      <c r="A1175" t="s">
        <v>26</v>
      </c>
      <c r="B1175" s="33">
        <v>4696000000</v>
      </c>
    </row>
    <row r="1176" spans="1:2" x14ac:dyDescent="0.35">
      <c r="A1176" t="s">
        <v>27</v>
      </c>
      <c r="B1176" s="33">
        <v>4622000000</v>
      </c>
    </row>
    <row r="1177" spans="1:2" x14ac:dyDescent="0.35">
      <c r="A1177" t="s">
        <v>28</v>
      </c>
      <c r="B1177" s="34">
        <v>0.17</v>
      </c>
    </row>
    <row r="1179" spans="1:2" x14ac:dyDescent="0.35">
      <c r="A1179" t="s">
        <v>42</v>
      </c>
    </row>
    <row r="1180" spans="1:2" x14ac:dyDescent="0.35">
      <c r="A1180" t="s">
        <v>23</v>
      </c>
      <c r="B1180" s="33">
        <v>36118000000</v>
      </c>
    </row>
    <row r="1181" spans="1:2" x14ac:dyDescent="0.35">
      <c r="A1181" t="s">
        <v>24</v>
      </c>
      <c r="B1181" s="33">
        <v>3057000000</v>
      </c>
    </row>
    <row r="1182" spans="1:2" x14ac:dyDescent="0.35">
      <c r="A1182" t="s">
        <v>25</v>
      </c>
      <c r="B1182" t="s">
        <v>35</v>
      </c>
    </row>
    <row r="1183" spans="1:2" x14ac:dyDescent="0.35">
      <c r="A1183" t="s">
        <v>26</v>
      </c>
      <c r="B1183" s="33">
        <v>1610000000</v>
      </c>
    </row>
    <row r="1184" spans="1:2" x14ac:dyDescent="0.35">
      <c r="A1184" t="s">
        <v>27</v>
      </c>
      <c r="B1184" s="33">
        <v>3922000000</v>
      </c>
    </row>
    <row r="1185" spans="1:2" x14ac:dyDescent="0.35">
      <c r="A1185" t="s">
        <v>28</v>
      </c>
      <c r="B1185" s="34">
        <v>0.08</v>
      </c>
    </row>
    <row r="1187" spans="1:2" x14ac:dyDescent="0.35">
      <c r="A1187" t="s">
        <v>37</v>
      </c>
    </row>
    <row r="1188" spans="1:2" x14ac:dyDescent="0.35">
      <c r="A1188" t="s">
        <v>23</v>
      </c>
      <c r="B1188" s="33">
        <v>90805000000</v>
      </c>
    </row>
    <row r="1189" spans="1:2" x14ac:dyDescent="0.35">
      <c r="A1189" t="s">
        <v>24</v>
      </c>
      <c r="B1189" s="33">
        <v>60521000000</v>
      </c>
    </row>
    <row r="1190" spans="1:2" x14ac:dyDescent="0.35">
      <c r="A1190" t="s">
        <v>25</v>
      </c>
      <c r="B1190" s="33">
        <v>2163000000</v>
      </c>
    </row>
    <row r="1191" spans="1:2" x14ac:dyDescent="0.35">
      <c r="A1191" t="s">
        <v>26</v>
      </c>
      <c r="B1191" s="33">
        <v>42779000000</v>
      </c>
    </row>
    <row r="1192" spans="1:2" x14ac:dyDescent="0.35">
      <c r="A1192" t="s">
        <v>27</v>
      </c>
      <c r="B1192" s="33">
        <v>54724000000</v>
      </c>
    </row>
    <row r="1193" spans="1:2" x14ac:dyDescent="0.35">
      <c r="A1193" t="s">
        <v>28</v>
      </c>
      <c r="B1193" s="34">
        <v>0.67</v>
      </c>
    </row>
    <row r="1195" spans="1:2" x14ac:dyDescent="0.35">
      <c r="A1195" t="s">
        <v>38</v>
      </c>
    </row>
    <row r="1196" spans="1:2" x14ac:dyDescent="0.35">
      <c r="A1196" t="s">
        <v>23</v>
      </c>
      <c r="B1196" s="33">
        <v>19322000000</v>
      </c>
    </row>
    <row r="1197" spans="1:2" x14ac:dyDescent="0.35">
      <c r="A1197" t="s">
        <v>24</v>
      </c>
      <c r="B1197" s="33">
        <v>19790000000</v>
      </c>
    </row>
    <row r="1198" spans="1:2" x14ac:dyDescent="0.35">
      <c r="A1198" t="s">
        <v>25</v>
      </c>
      <c r="B1198" s="33">
        <v>16088000000</v>
      </c>
    </row>
    <row r="1199" spans="1:2" x14ac:dyDescent="0.35">
      <c r="A1199" t="s">
        <v>26</v>
      </c>
      <c r="B1199" s="33">
        <v>3698000000</v>
      </c>
    </row>
    <row r="1200" spans="1:2" x14ac:dyDescent="0.35">
      <c r="A1200" t="s">
        <v>27</v>
      </c>
      <c r="B1200" t="s">
        <v>35</v>
      </c>
    </row>
    <row r="1201" spans="1:2" x14ac:dyDescent="0.35">
      <c r="A1201" t="s">
        <v>28</v>
      </c>
      <c r="B1201" s="34">
        <v>1.02</v>
      </c>
    </row>
    <row r="1203" spans="1:2" x14ac:dyDescent="0.35">
      <c r="A1203" t="s">
        <v>39</v>
      </c>
    </row>
    <row r="1204" spans="1:2" x14ac:dyDescent="0.35">
      <c r="A1204" t="s">
        <v>23</v>
      </c>
      <c r="B1204" s="33">
        <v>265595000000</v>
      </c>
    </row>
    <row r="1205" spans="1:2" x14ac:dyDescent="0.35">
      <c r="A1205" t="s">
        <v>24</v>
      </c>
      <c r="B1205" s="33">
        <v>146860000000</v>
      </c>
    </row>
    <row r="1206" spans="1:2" x14ac:dyDescent="0.35">
      <c r="A1206" t="s">
        <v>25</v>
      </c>
      <c r="B1206" s="33">
        <v>20553000000</v>
      </c>
    </row>
    <row r="1207" spans="1:2" x14ac:dyDescent="0.35">
      <c r="A1207" t="s">
        <v>26</v>
      </c>
      <c r="B1207" s="33">
        <v>81754000000</v>
      </c>
    </row>
    <row r="1208" spans="1:2" x14ac:dyDescent="0.35">
      <c r="A1208" t="s">
        <v>27</v>
      </c>
      <c r="B1208" s="33">
        <v>113258000000</v>
      </c>
    </row>
    <row r="1209" spans="1:2" x14ac:dyDescent="0.35">
      <c r="A1209" t="s">
        <v>28</v>
      </c>
      <c r="B1209" s="34">
        <v>0.55000000000000004</v>
      </c>
    </row>
    <row r="1211" spans="1:2" x14ac:dyDescent="0.35">
      <c r="A1211" t="s">
        <v>43</v>
      </c>
    </row>
    <row r="1212" spans="1:2" x14ac:dyDescent="0.35">
      <c r="A1212" t="s">
        <v>23</v>
      </c>
      <c r="B1212" s="33">
        <v>36148000000</v>
      </c>
    </row>
    <row r="1213" spans="1:2" x14ac:dyDescent="0.35">
      <c r="A1213" t="s">
        <v>24</v>
      </c>
      <c r="B1213" s="33">
        <v>193893000000</v>
      </c>
    </row>
    <row r="1214" spans="1:2" x14ac:dyDescent="0.35">
      <c r="A1214" t="s">
        <v>25</v>
      </c>
      <c r="B1214" t="s">
        <v>35</v>
      </c>
    </row>
    <row r="1215" spans="1:2" x14ac:dyDescent="0.35">
      <c r="A1215" t="s">
        <v>26</v>
      </c>
      <c r="B1215" s="33">
        <v>136162000000</v>
      </c>
    </row>
    <row r="1216" spans="1:2" x14ac:dyDescent="0.35">
      <c r="A1216" t="s">
        <v>27</v>
      </c>
      <c r="B1216" s="33">
        <v>154562000000</v>
      </c>
    </row>
    <row r="1217" spans="1:2" x14ac:dyDescent="0.35">
      <c r="A1217" t="s">
        <v>28</v>
      </c>
      <c r="B1217" s="34">
        <v>5.36</v>
      </c>
    </row>
    <row r="1219" spans="1:2" x14ac:dyDescent="0.35">
      <c r="A1219" t="s">
        <v>44</v>
      </c>
    </row>
    <row r="1220" spans="1:2" x14ac:dyDescent="0.35">
      <c r="A1220" t="s">
        <v>23</v>
      </c>
      <c r="B1220" s="33">
        <v>343011000000</v>
      </c>
    </row>
    <row r="1221" spans="1:2" x14ac:dyDescent="0.35">
      <c r="A1221" t="s">
        <v>24</v>
      </c>
      <c r="B1221" t="s">
        <v>35</v>
      </c>
    </row>
    <row r="1222" spans="1:2" x14ac:dyDescent="0.35">
      <c r="A1222" t="s">
        <v>25</v>
      </c>
      <c r="B1222" s="33">
        <v>71516000000</v>
      </c>
    </row>
    <row r="1223" spans="1:2" x14ac:dyDescent="0.35">
      <c r="A1223" t="s">
        <v>26</v>
      </c>
      <c r="B1223" s="33">
        <v>18352000000</v>
      </c>
    </row>
    <row r="1224" spans="1:2" x14ac:dyDescent="0.35">
      <c r="A1224" t="s">
        <v>27</v>
      </c>
      <c r="B1224" t="s">
        <v>35</v>
      </c>
    </row>
    <row r="1225" spans="1:2" x14ac:dyDescent="0.35">
      <c r="A1225" t="s">
        <v>28</v>
      </c>
      <c r="B1225" t="s">
        <v>35</v>
      </c>
    </row>
    <row r="1227" spans="1:2" x14ac:dyDescent="0.35">
      <c r="A1227" t="s">
        <v>45</v>
      </c>
    </row>
    <row r="1228" spans="1:2" x14ac:dyDescent="0.35">
      <c r="A1228" t="s">
        <v>23</v>
      </c>
      <c r="B1228" s="33">
        <v>18881000000</v>
      </c>
    </row>
    <row r="1229" spans="1:2" x14ac:dyDescent="0.35">
      <c r="A1229" t="s">
        <v>24</v>
      </c>
      <c r="B1229" t="s">
        <v>35</v>
      </c>
    </row>
    <row r="1230" spans="1:2" x14ac:dyDescent="0.35">
      <c r="A1230" t="s">
        <v>25</v>
      </c>
      <c r="B1230" s="33">
        <v>1663000000</v>
      </c>
    </row>
    <row r="1231" spans="1:2" x14ac:dyDescent="0.35">
      <c r="A1231" t="s">
        <v>26</v>
      </c>
      <c r="B1231" s="33">
        <v>3317000000</v>
      </c>
    </row>
    <row r="1232" spans="1:2" x14ac:dyDescent="0.35">
      <c r="A1232" t="s">
        <v>27</v>
      </c>
      <c r="B1232" s="33">
        <v>2330000000</v>
      </c>
    </row>
    <row r="1233" spans="1:2" x14ac:dyDescent="0.35">
      <c r="A1233" t="s">
        <v>28</v>
      </c>
      <c r="B1233" t="s">
        <v>35</v>
      </c>
    </row>
    <row r="1235" spans="1:2" x14ac:dyDescent="0.35">
      <c r="A1235" t="s">
        <v>46</v>
      </c>
    </row>
    <row r="1236" spans="1:2" x14ac:dyDescent="0.35">
      <c r="A1236" t="s">
        <v>23</v>
      </c>
      <c r="B1236" s="33">
        <v>23664000000</v>
      </c>
    </row>
    <row r="1237" spans="1:2" x14ac:dyDescent="0.35">
      <c r="A1237" t="s">
        <v>24</v>
      </c>
      <c r="B1237" s="33">
        <v>14787000000</v>
      </c>
    </row>
    <row r="1238" spans="1:2" x14ac:dyDescent="0.35">
      <c r="A1238" t="s">
        <v>25</v>
      </c>
      <c r="B1238" s="33">
        <v>6704000000</v>
      </c>
    </row>
    <row r="1239" spans="1:2" x14ac:dyDescent="0.35">
      <c r="A1239" t="s">
        <v>26</v>
      </c>
      <c r="B1239" s="33">
        <v>-1391000000</v>
      </c>
    </row>
    <row r="1240" spans="1:2" x14ac:dyDescent="0.35">
      <c r="A1240" t="s">
        <v>27</v>
      </c>
      <c r="B1240" s="33">
        <v>10778000000</v>
      </c>
    </row>
    <row r="1241" spans="1:2" x14ac:dyDescent="0.35">
      <c r="A1241" t="s">
        <v>28</v>
      </c>
      <c r="B1241" s="34">
        <v>0.62</v>
      </c>
    </row>
    <row r="1243" spans="1:2" x14ac:dyDescent="0.35">
      <c r="A1243" t="s">
        <v>47</v>
      </c>
    </row>
    <row r="1244" spans="1:2" x14ac:dyDescent="0.35">
      <c r="A1244" t="s">
        <v>23</v>
      </c>
      <c r="B1244" s="33">
        <v>30818000000</v>
      </c>
    </row>
    <row r="1245" spans="1:2" x14ac:dyDescent="0.35">
      <c r="A1245" t="s">
        <v>24</v>
      </c>
      <c r="B1245" s="33">
        <v>2786000000</v>
      </c>
    </row>
    <row r="1246" spans="1:2" x14ac:dyDescent="0.35">
      <c r="A1246" t="s">
        <v>25</v>
      </c>
      <c r="B1246" s="33">
        <v>3287000000</v>
      </c>
    </row>
    <row r="1247" spans="1:2" x14ac:dyDescent="0.35">
      <c r="A1247" t="s">
        <v>26</v>
      </c>
      <c r="B1247" s="33">
        <v>4411000000</v>
      </c>
    </row>
    <row r="1248" spans="1:2" x14ac:dyDescent="0.35">
      <c r="A1248" t="s">
        <v>27</v>
      </c>
      <c r="B1248" t="s">
        <v>35</v>
      </c>
    </row>
    <row r="1249" spans="1:2" x14ac:dyDescent="0.35">
      <c r="A1249" t="s">
        <v>28</v>
      </c>
      <c r="B1249" s="34">
        <v>0.09</v>
      </c>
    </row>
    <row r="1251" spans="1:2" x14ac:dyDescent="0.35">
      <c r="A1251" t="s">
        <v>48</v>
      </c>
    </row>
    <row r="1252" spans="1:2" x14ac:dyDescent="0.35">
      <c r="A1252" t="s">
        <v>23</v>
      </c>
      <c r="B1252" s="33">
        <v>31519000000</v>
      </c>
    </row>
    <row r="1253" spans="1:2" x14ac:dyDescent="0.35">
      <c r="A1253" t="s">
        <v>24</v>
      </c>
      <c r="B1253" s="33">
        <v>18008000000</v>
      </c>
    </row>
    <row r="1254" spans="1:2" x14ac:dyDescent="0.35">
      <c r="A1254" t="s">
        <v>25</v>
      </c>
      <c r="B1254" s="33">
        <v>9913000000</v>
      </c>
    </row>
    <row r="1255" spans="1:2" x14ac:dyDescent="0.35">
      <c r="A1255" t="s">
        <v>26</v>
      </c>
      <c r="B1255" s="33">
        <v>6071000000</v>
      </c>
    </row>
    <row r="1256" spans="1:2" x14ac:dyDescent="0.35">
      <c r="A1256" t="s">
        <v>27</v>
      </c>
      <c r="B1256" s="33">
        <v>7163000000</v>
      </c>
    </row>
    <row r="1257" spans="1:2" x14ac:dyDescent="0.35">
      <c r="A1257" t="s">
        <v>28</v>
      </c>
      <c r="B1257" s="34">
        <v>0.56999999999999995</v>
      </c>
    </row>
    <row r="1259" spans="1:2" x14ac:dyDescent="0.35">
      <c r="A1259" t="s">
        <v>49</v>
      </c>
    </row>
    <row r="1260" spans="1:2" x14ac:dyDescent="0.35">
      <c r="A1260" t="s">
        <v>23</v>
      </c>
      <c r="B1260" s="33">
        <v>12298000000</v>
      </c>
    </row>
    <row r="1261" spans="1:2" x14ac:dyDescent="0.35">
      <c r="A1261" t="s">
        <v>24</v>
      </c>
      <c r="B1261" t="s">
        <v>35</v>
      </c>
    </row>
    <row r="1262" spans="1:2" x14ac:dyDescent="0.35">
      <c r="A1262" t="s">
        <v>25</v>
      </c>
      <c r="B1262" s="33">
        <v>2212000000</v>
      </c>
    </row>
    <row r="1263" spans="1:2" x14ac:dyDescent="0.35">
      <c r="A1263" t="s">
        <v>26</v>
      </c>
      <c r="B1263" s="33">
        <v>-1033000000</v>
      </c>
    </row>
    <row r="1264" spans="1:2" x14ac:dyDescent="0.35">
      <c r="A1264" t="s">
        <v>27</v>
      </c>
      <c r="B1264" s="33">
        <v>4221000000</v>
      </c>
    </row>
    <row r="1265" spans="1:2" x14ac:dyDescent="0.35">
      <c r="A1265" t="s">
        <v>28</v>
      </c>
      <c r="B1265" t="s">
        <v>35</v>
      </c>
    </row>
    <row r="1267" spans="1:2" x14ac:dyDescent="0.35">
      <c r="A1267" t="s">
        <v>50</v>
      </c>
    </row>
    <row r="1268" spans="1:2" x14ac:dyDescent="0.35">
      <c r="A1268" t="s">
        <v>23</v>
      </c>
      <c r="B1268" s="33">
        <v>91141000000</v>
      </c>
    </row>
    <row r="1269" spans="1:2" x14ac:dyDescent="0.35">
      <c r="A1269" t="s">
        <v>24</v>
      </c>
      <c r="B1269" s="33">
        <v>-3135000000</v>
      </c>
    </row>
    <row r="1270" spans="1:2" x14ac:dyDescent="0.35">
      <c r="A1270" t="s">
        <v>25</v>
      </c>
      <c r="B1270" s="33">
        <v>8554000000</v>
      </c>
    </row>
    <row r="1271" spans="1:2" x14ac:dyDescent="0.35">
      <c r="A1271" t="s">
        <v>26</v>
      </c>
      <c r="B1271" s="33">
        <v>12969000000</v>
      </c>
    </row>
    <row r="1272" spans="1:2" x14ac:dyDescent="0.35">
      <c r="A1272" t="s">
        <v>27</v>
      </c>
      <c r="B1272" s="33">
        <v>12546000000</v>
      </c>
    </row>
    <row r="1273" spans="1:2" x14ac:dyDescent="0.35">
      <c r="A1273" t="s">
        <v>28</v>
      </c>
      <c r="B1273" s="34">
        <v>-0.03</v>
      </c>
    </row>
    <row r="1275" spans="1:2" x14ac:dyDescent="0.35">
      <c r="A1275" t="s">
        <v>51</v>
      </c>
    </row>
    <row r="1276" spans="1:2" x14ac:dyDescent="0.35">
      <c r="A1276" t="s">
        <v>23</v>
      </c>
      <c r="B1276" s="33">
        <v>3913000000</v>
      </c>
    </row>
    <row r="1277" spans="1:2" x14ac:dyDescent="0.35">
      <c r="A1277" t="s">
        <v>24</v>
      </c>
      <c r="B1277" s="33">
        <v>6795000000</v>
      </c>
    </row>
    <row r="1278" spans="1:2" x14ac:dyDescent="0.35">
      <c r="A1278" t="s">
        <v>25</v>
      </c>
      <c r="B1278" s="33">
        <v>1877000000</v>
      </c>
    </row>
    <row r="1279" spans="1:2" x14ac:dyDescent="0.35">
      <c r="A1279" t="s">
        <v>26</v>
      </c>
      <c r="B1279" s="33">
        <v>2950000000</v>
      </c>
    </row>
    <row r="1280" spans="1:2" x14ac:dyDescent="0.35">
      <c r="A1280" t="s">
        <v>27</v>
      </c>
      <c r="B1280" s="33">
        <v>2517000000</v>
      </c>
    </row>
    <row r="1281" spans="1:2" x14ac:dyDescent="0.35">
      <c r="A1281" t="s">
        <v>28</v>
      </c>
      <c r="B1281" s="34">
        <v>1.74</v>
      </c>
    </row>
    <row r="1283" spans="1:2" x14ac:dyDescent="0.35">
      <c r="A1283" t="s">
        <v>40</v>
      </c>
    </row>
    <row r="1284" spans="1:2" x14ac:dyDescent="0.35">
      <c r="A1284" t="s">
        <v>23</v>
      </c>
      <c r="B1284" s="33">
        <v>61473000000</v>
      </c>
    </row>
    <row r="1285" spans="1:2" x14ac:dyDescent="0.35">
      <c r="A1285" t="s">
        <v>24</v>
      </c>
      <c r="B1285" t="s">
        <v>35</v>
      </c>
    </row>
    <row r="1286" spans="1:2" x14ac:dyDescent="0.35">
      <c r="A1286" t="s">
        <v>25</v>
      </c>
      <c r="B1286" s="33">
        <v>14090000000</v>
      </c>
    </row>
    <row r="1287" spans="1:2" x14ac:dyDescent="0.35">
      <c r="A1287" t="s">
        <v>26</v>
      </c>
      <c r="B1287" s="33">
        <v>18812000000</v>
      </c>
    </row>
    <row r="1288" spans="1:2" x14ac:dyDescent="0.35">
      <c r="A1288" t="s">
        <v>27</v>
      </c>
      <c r="B1288" s="33">
        <v>39519000000</v>
      </c>
    </row>
    <row r="1289" spans="1:2" x14ac:dyDescent="0.35">
      <c r="A1289" t="s">
        <v>28</v>
      </c>
      <c r="B1289" t="s">
        <v>35</v>
      </c>
    </row>
    <row r="1291" spans="1:2" x14ac:dyDescent="0.35">
      <c r="A1291" t="s">
        <v>36</v>
      </c>
    </row>
    <row r="1292" spans="1:2" x14ac:dyDescent="0.35">
      <c r="A1292" t="s">
        <v>23</v>
      </c>
      <c r="B1292" s="33">
        <v>52871000000</v>
      </c>
    </row>
    <row r="1293" spans="1:2" x14ac:dyDescent="0.35">
      <c r="A1293" t="s">
        <v>24</v>
      </c>
      <c r="B1293" s="33">
        <v>28584000000</v>
      </c>
    </row>
    <row r="1294" spans="1:2" x14ac:dyDescent="0.35">
      <c r="A1294" t="s">
        <v>25</v>
      </c>
      <c r="B1294" s="33">
        <v>15294000000</v>
      </c>
    </row>
    <row r="1295" spans="1:2" x14ac:dyDescent="0.35">
      <c r="A1295" t="s">
        <v>26</v>
      </c>
      <c r="B1295" s="33">
        <v>8968000000</v>
      </c>
    </row>
    <row r="1296" spans="1:2" x14ac:dyDescent="0.35">
      <c r="A1296" t="s">
        <v>27</v>
      </c>
      <c r="B1296" s="33">
        <v>12912000000</v>
      </c>
    </row>
    <row r="1297" spans="1:2" x14ac:dyDescent="0.35">
      <c r="A1297" t="s">
        <v>28</v>
      </c>
      <c r="B1297" s="34">
        <v>0.54</v>
      </c>
    </row>
    <row r="1299" spans="1:2" x14ac:dyDescent="0.35">
      <c r="A1299" t="s">
        <v>41</v>
      </c>
    </row>
    <row r="1300" spans="1:2" x14ac:dyDescent="0.35">
      <c r="A1300" t="s">
        <v>23</v>
      </c>
      <c r="B1300" s="33">
        <v>41831000000</v>
      </c>
    </row>
    <row r="1301" spans="1:2" x14ac:dyDescent="0.35">
      <c r="A1301" t="s">
        <v>24</v>
      </c>
      <c r="B1301" s="33">
        <v>7031000000</v>
      </c>
    </row>
    <row r="1302" spans="1:2" x14ac:dyDescent="0.35">
      <c r="A1302" t="s">
        <v>25</v>
      </c>
      <c r="B1302" s="33">
        <v>2617000000</v>
      </c>
    </row>
    <row r="1303" spans="1:2" x14ac:dyDescent="0.35">
      <c r="A1303" t="s">
        <v>26</v>
      </c>
      <c r="B1303" s="33">
        <v>4696000000</v>
      </c>
    </row>
    <row r="1304" spans="1:2" x14ac:dyDescent="0.35">
      <c r="A1304" t="s">
        <v>27</v>
      </c>
      <c r="B1304" s="33">
        <v>4622000000</v>
      </c>
    </row>
    <row r="1305" spans="1:2" x14ac:dyDescent="0.35">
      <c r="A1305" t="s">
        <v>28</v>
      </c>
      <c r="B1305" s="34">
        <v>0.17</v>
      </c>
    </row>
    <row r="1307" spans="1:2" x14ac:dyDescent="0.35">
      <c r="A1307" t="s">
        <v>42</v>
      </c>
    </row>
    <row r="1308" spans="1:2" x14ac:dyDescent="0.35">
      <c r="A1308" t="s">
        <v>23</v>
      </c>
      <c r="B1308" s="33">
        <v>36118000000</v>
      </c>
    </row>
    <row r="1309" spans="1:2" x14ac:dyDescent="0.35">
      <c r="A1309" t="s">
        <v>24</v>
      </c>
      <c r="B1309" s="33">
        <v>3057000000</v>
      </c>
    </row>
    <row r="1310" spans="1:2" x14ac:dyDescent="0.35">
      <c r="A1310" t="s">
        <v>25</v>
      </c>
      <c r="B1310" t="s">
        <v>35</v>
      </c>
    </row>
    <row r="1311" spans="1:2" x14ac:dyDescent="0.35">
      <c r="A1311" t="s">
        <v>26</v>
      </c>
      <c r="B1311" s="33">
        <v>1610000000</v>
      </c>
    </row>
    <row r="1312" spans="1:2" x14ac:dyDescent="0.35">
      <c r="A1312" t="s">
        <v>27</v>
      </c>
      <c r="B1312" s="33">
        <v>3922000000</v>
      </c>
    </row>
    <row r="1313" spans="1:2" x14ac:dyDescent="0.35">
      <c r="A1313" t="s">
        <v>28</v>
      </c>
      <c r="B1313" s="34">
        <v>0.08</v>
      </c>
    </row>
    <row r="1315" spans="1:2" x14ac:dyDescent="0.35">
      <c r="A1315" t="s">
        <v>37</v>
      </c>
    </row>
    <row r="1316" spans="1:2" x14ac:dyDescent="0.35">
      <c r="A1316" t="s">
        <v>23</v>
      </c>
      <c r="B1316" s="33">
        <v>90805000000</v>
      </c>
    </row>
    <row r="1317" spans="1:2" x14ac:dyDescent="0.35">
      <c r="A1317" t="s">
        <v>24</v>
      </c>
      <c r="B1317" s="33">
        <v>60521000000</v>
      </c>
    </row>
    <row r="1318" spans="1:2" x14ac:dyDescent="0.35">
      <c r="A1318" t="s">
        <v>25</v>
      </c>
      <c r="B1318" s="33">
        <v>2163000000</v>
      </c>
    </row>
    <row r="1319" spans="1:2" x14ac:dyDescent="0.35">
      <c r="A1319" t="s">
        <v>26</v>
      </c>
      <c r="B1319" s="33">
        <v>42779000000</v>
      </c>
    </row>
    <row r="1320" spans="1:2" x14ac:dyDescent="0.35">
      <c r="A1320" t="s">
        <v>27</v>
      </c>
      <c r="B1320" s="33">
        <v>54724000000</v>
      </c>
    </row>
    <row r="1321" spans="1:2" x14ac:dyDescent="0.35">
      <c r="A1321" t="s">
        <v>28</v>
      </c>
      <c r="B1321" s="34">
        <v>0.67</v>
      </c>
    </row>
    <row r="1323" spans="1:2" x14ac:dyDescent="0.35">
      <c r="A1323" t="s">
        <v>38</v>
      </c>
    </row>
    <row r="1324" spans="1:2" x14ac:dyDescent="0.35">
      <c r="A1324" t="s">
        <v>23</v>
      </c>
      <c r="B1324" s="33">
        <v>19322000000</v>
      </c>
    </row>
    <row r="1325" spans="1:2" x14ac:dyDescent="0.35">
      <c r="A1325" t="s">
        <v>24</v>
      </c>
      <c r="B1325" s="33">
        <v>19790000000</v>
      </c>
    </row>
    <row r="1326" spans="1:2" x14ac:dyDescent="0.35">
      <c r="A1326" t="s">
        <v>25</v>
      </c>
      <c r="B1326" s="33">
        <v>16088000000</v>
      </c>
    </row>
    <row r="1327" spans="1:2" x14ac:dyDescent="0.35">
      <c r="A1327" t="s">
        <v>26</v>
      </c>
      <c r="B1327" s="33">
        <v>3698000000</v>
      </c>
    </row>
    <row r="1328" spans="1:2" x14ac:dyDescent="0.35">
      <c r="A1328" t="s">
        <v>27</v>
      </c>
      <c r="B1328" t="s">
        <v>35</v>
      </c>
    </row>
    <row r="1329" spans="1:2" x14ac:dyDescent="0.35">
      <c r="A1329" t="s">
        <v>28</v>
      </c>
      <c r="B1329" s="34">
        <v>1.02</v>
      </c>
    </row>
    <row r="1331" spans="1:2" x14ac:dyDescent="0.35">
      <c r="A1331" t="s">
        <v>39</v>
      </c>
    </row>
    <row r="1332" spans="1:2" x14ac:dyDescent="0.35">
      <c r="A1332" t="s">
        <v>23</v>
      </c>
      <c r="B1332" s="33">
        <v>265595000000</v>
      </c>
    </row>
    <row r="1333" spans="1:2" x14ac:dyDescent="0.35">
      <c r="A1333" t="s">
        <v>24</v>
      </c>
      <c r="B1333" s="33">
        <v>146860000000</v>
      </c>
    </row>
    <row r="1334" spans="1:2" x14ac:dyDescent="0.35">
      <c r="A1334" t="s">
        <v>25</v>
      </c>
      <c r="B1334" s="33">
        <v>20553000000</v>
      </c>
    </row>
    <row r="1335" spans="1:2" x14ac:dyDescent="0.35">
      <c r="A1335" t="s">
        <v>26</v>
      </c>
      <c r="B1335" s="33">
        <v>81754000000</v>
      </c>
    </row>
    <row r="1336" spans="1:2" x14ac:dyDescent="0.35">
      <c r="A1336" t="s">
        <v>27</v>
      </c>
      <c r="B1336" s="33">
        <v>113258000000</v>
      </c>
    </row>
    <row r="1337" spans="1:2" x14ac:dyDescent="0.35">
      <c r="A1337" t="s">
        <v>28</v>
      </c>
      <c r="B1337" s="34">
        <v>0.55000000000000004</v>
      </c>
    </row>
    <row r="1339" spans="1:2" x14ac:dyDescent="0.35">
      <c r="A1339" t="s">
        <v>43</v>
      </c>
    </row>
    <row r="1340" spans="1:2" x14ac:dyDescent="0.35">
      <c r="A1340" t="s">
        <v>23</v>
      </c>
      <c r="B1340" s="33">
        <v>36148000000</v>
      </c>
    </row>
    <row r="1341" spans="1:2" x14ac:dyDescent="0.35">
      <c r="A1341" t="s">
        <v>24</v>
      </c>
      <c r="B1341" s="33">
        <v>193893000000</v>
      </c>
    </row>
    <row r="1342" spans="1:2" x14ac:dyDescent="0.35">
      <c r="A1342" t="s">
        <v>25</v>
      </c>
      <c r="B1342" t="s">
        <v>35</v>
      </c>
    </row>
    <row r="1343" spans="1:2" x14ac:dyDescent="0.35">
      <c r="A1343" t="s">
        <v>26</v>
      </c>
      <c r="B1343" s="33">
        <v>136162000000</v>
      </c>
    </row>
    <row r="1344" spans="1:2" x14ac:dyDescent="0.35">
      <c r="A1344" t="s">
        <v>27</v>
      </c>
      <c r="B1344" s="33">
        <v>154562000000</v>
      </c>
    </row>
    <row r="1345" spans="1:2" x14ac:dyDescent="0.35">
      <c r="A1345" t="s">
        <v>28</v>
      </c>
      <c r="B1345" s="34">
        <v>5.36</v>
      </c>
    </row>
    <row r="1347" spans="1:2" x14ac:dyDescent="0.35">
      <c r="A1347" t="s">
        <v>44</v>
      </c>
    </row>
    <row r="1348" spans="1:2" x14ac:dyDescent="0.35">
      <c r="A1348" t="s">
        <v>23</v>
      </c>
      <c r="B1348" s="33">
        <v>343011000000</v>
      </c>
    </row>
    <row r="1349" spans="1:2" x14ac:dyDescent="0.35">
      <c r="A1349" t="s">
        <v>24</v>
      </c>
      <c r="B1349" t="s">
        <v>35</v>
      </c>
    </row>
    <row r="1350" spans="1:2" x14ac:dyDescent="0.35">
      <c r="A1350" t="s">
        <v>25</v>
      </c>
      <c r="B1350" s="33">
        <v>71516000000</v>
      </c>
    </row>
    <row r="1351" spans="1:2" x14ac:dyDescent="0.35">
      <c r="A1351" t="s">
        <v>26</v>
      </c>
      <c r="B1351" s="33">
        <v>18352000000</v>
      </c>
    </row>
    <row r="1352" spans="1:2" x14ac:dyDescent="0.35">
      <c r="A1352" t="s">
        <v>27</v>
      </c>
      <c r="B1352" t="s">
        <v>35</v>
      </c>
    </row>
    <row r="1353" spans="1:2" x14ac:dyDescent="0.35">
      <c r="A1353" t="s">
        <v>28</v>
      </c>
      <c r="B1353" t="s">
        <v>35</v>
      </c>
    </row>
    <row r="1355" spans="1:2" x14ac:dyDescent="0.35">
      <c r="A1355" t="s">
        <v>45</v>
      </c>
    </row>
    <row r="1356" spans="1:2" x14ac:dyDescent="0.35">
      <c r="A1356" t="s">
        <v>23</v>
      </c>
      <c r="B1356" s="33">
        <v>18881000000</v>
      </c>
    </row>
    <row r="1357" spans="1:2" x14ac:dyDescent="0.35">
      <c r="A1357" t="s">
        <v>24</v>
      </c>
      <c r="B1357" t="s">
        <v>35</v>
      </c>
    </row>
    <row r="1358" spans="1:2" x14ac:dyDescent="0.35">
      <c r="A1358" t="s">
        <v>25</v>
      </c>
      <c r="B1358" s="33">
        <v>1663000000</v>
      </c>
    </row>
    <row r="1359" spans="1:2" x14ac:dyDescent="0.35">
      <c r="A1359" t="s">
        <v>26</v>
      </c>
      <c r="B1359" s="33">
        <v>3317000000</v>
      </c>
    </row>
    <row r="1360" spans="1:2" x14ac:dyDescent="0.35">
      <c r="A1360" t="s">
        <v>27</v>
      </c>
      <c r="B1360" s="33">
        <v>2330000000</v>
      </c>
    </row>
    <row r="1361" spans="1:2" x14ac:dyDescent="0.35">
      <c r="A1361" t="s">
        <v>28</v>
      </c>
      <c r="B1361" t="s">
        <v>35</v>
      </c>
    </row>
    <row r="1363" spans="1:2" x14ac:dyDescent="0.35">
      <c r="A1363" t="s">
        <v>46</v>
      </c>
    </row>
    <row r="1364" spans="1:2" x14ac:dyDescent="0.35">
      <c r="A1364" t="s">
        <v>23</v>
      </c>
      <c r="B1364" s="33">
        <v>23664000000</v>
      </c>
    </row>
    <row r="1365" spans="1:2" x14ac:dyDescent="0.35">
      <c r="A1365" t="s">
        <v>24</v>
      </c>
      <c r="B1365" s="33">
        <v>14787000000</v>
      </c>
    </row>
    <row r="1366" spans="1:2" x14ac:dyDescent="0.35">
      <c r="A1366" t="s">
        <v>25</v>
      </c>
      <c r="B1366" s="33">
        <v>6704000000</v>
      </c>
    </row>
    <row r="1367" spans="1:2" x14ac:dyDescent="0.35">
      <c r="A1367" t="s">
        <v>26</v>
      </c>
      <c r="B1367" s="33">
        <v>-1391000000</v>
      </c>
    </row>
    <row r="1368" spans="1:2" x14ac:dyDescent="0.35">
      <c r="A1368" t="s">
        <v>27</v>
      </c>
      <c r="B1368" s="33">
        <v>10778000000</v>
      </c>
    </row>
    <row r="1369" spans="1:2" x14ac:dyDescent="0.35">
      <c r="A1369" t="s">
        <v>28</v>
      </c>
      <c r="B1369" s="34">
        <v>0.62</v>
      </c>
    </row>
    <row r="1371" spans="1:2" x14ac:dyDescent="0.35">
      <c r="A1371" t="s">
        <v>47</v>
      </c>
    </row>
    <row r="1372" spans="1:2" x14ac:dyDescent="0.35">
      <c r="A1372" t="s">
        <v>23</v>
      </c>
      <c r="B1372" s="33">
        <v>30818000000</v>
      </c>
    </row>
    <row r="1373" spans="1:2" x14ac:dyDescent="0.35">
      <c r="A1373" t="s">
        <v>24</v>
      </c>
      <c r="B1373" s="33">
        <v>2786000000</v>
      </c>
    </row>
    <row r="1374" spans="1:2" x14ac:dyDescent="0.35">
      <c r="A1374" t="s">
        <v>25</v>
      </c>
      <c r="B1374" s="33">
        <v>3287000000</v>
      </c>
    </row>
    <row r="1375" spans="1:2" x14ac:dyDescent="0.35">
      <c r="A1375" t="s">
        <v>26</v>
      </c>
      <c r="B1375" s="33">
        <v>4411000000</v>
      </c>
    </row>
    <row r="1376" spans="1:2" x14ac:dyDescent="0.35">
      <c r="A1376" t="s">
        <v>27</v>
      </c>
      <c r="B1376" t="s">
        <v>35</v>
      </c>
    </row>
    <row r="1377" spans="1:2" x14ac:dyDescent="0.35">
      <c r="A1377" t="s">
        <v>28</v>
      </c>
      <c r="B1377" s="34">
        <v>0.09</v>
      </c>
    </row>
    <row r="1379" spans="1:2" x14ac:dyDescent="0.35">
      <c r="A1379" t="s">
        <v>48</v>
      </c>
    </row>
    <row r="1380" spans="1:2" x14ac:dyDescent="0.35">
      <c r="A1380" t="s">
        <v>23</v>
      </c>
      <c r="B1380" s="33">
        <v>31519000000</v>
      </c>
    </row>
    <row r="1381" spans="1:2" x14ac:dyDescent="0.35">
      <c r="A1381" t="s">
        <v>24</v>
      </c>
      <c r="B1381" s="33">
        <v>18008000000</v>
      </c>
    </row>
    <row r="1382" spans="1:2" x14ac:dyDescent="0.35">
      <c r="A1382" t="s">
        <v>25</v>
      </c>
      <c r="B1382" s="33">
        <v>9913000000</v>
      </c>
    </row>
    <row r="1383" spans="1:2" x14ac:dyDescent="0.35">
      <c r="A1383" t="s">
        <v>26</v>
      </c>
      <c r="B1383" s="33">
        <v>6071000000</v>
      </c>
    </row>
    <row r="1384" spans="1:2" x14ac:dyDescent="0.35">
      <c r="A1384" t="s">
        <v>27</v>
      </c>
      <c r="B1384" s="33">
        <v>7163000000</v>
      </c>
    </row>
    <row r="1385" spans="1:2" x14ac:dyDescent="0.35">
      <c r="A1385" t="s">
        <v>28</v>
      </c>
      <c r="B1385" s="34">
        <v>0.56999999999999995</v>
      </c>
    </row>
    <row r="1387" spans="1:2" x14ac:dyDescent="0.35">
      <c r="A1387" t="s">
        <v>49</v>
      </c>
    </row>
    <row r="1388" spans="1:2" x14ac:dyDescent="0.35">
      <c r="A1388" t="s">
        <v>23</v>
      </c>
      <c r="B1388" s="33">
        <v>12298000000</v>
      </c>
    </row>
    <row r="1389" spans="1:2" x14ac:dyDescent="0.35">
      <c r="A1389" t="s">
        <v>24</v>
      </c>
      <c r="B1389" t="s">
        <v>35</v>
      </c>
    </row>
    <row r="1390" spans="1:2" x14ac:dyDescent="0.35">
      <c r="A1390" t="s">
        <v>25</v>
      </c>
      <c r="B1390" s="33">
        <v>2212000000</v>
      </c>
    </row>
    <row r="1391" spans="1:2" x14ac:dyDescent="0.35">
      <c r="A1391" t="s">
        <v>26</v>
      </c>
      <c r="B1391" s="33">
        <v>-1033000000</v>
      </c>
    </row>
    <row r="1392" spans="1:2" x14ac:dyDescent="0.35">
      <c r="A1392" t="s">
        <v>27</v>
      </c>
      <c r="B1392" s="33">
        <v>4221000000</v>
      </c>
    </row>
    <row r="1393" spans="1:2" x14ac:dyDescent="0.35">
      <c r="A1393" t="s">
        <v>28</v>
      </c>
      <c r="B1393" t="s">
        <v>35</v>
      </c>
    </row>
    <row r="1395" spans="1:2" x14ac:dyDescent="0.35">
      <c r="A1395" t="s">
        <v>50</v>
      </c>
    </row>
    <row r="1396" spans="1:2" x14ac:dyDescent="0.35">
      <c r="A1396" t="s">
        <v>23</v>
      </c>
      <c r="B1396" s="33">
        <v>91141000000</v>
      </c>
    </row>
    <row r="1397" spans="1:2" x14ac:dyDescent="0.35">
      <c r="A1397" t="s">
        <v>24</v>
      </c>
      <c r="B1397" s="33">
        <v>-3135000000</v>
      </c>
    </row>
    <row r="1398" spans="1:2" x14ac:dyDescent="0.35">
      <c r="A1398" t="s">
        <v>25</v>
      </c>
      <c r="B1398" s="33">
        <v>8554000000</v>
      </c>
    </row>
    <row r="1399" spans="1:2" x14ac:dyDescent="0.35">
      <c r="A1399" t="s">
        <v>26</v>
      </c>
      <c r="B1399" s="33">
        <v>12969000000</v>
      </c>
    </row>
    <row r="1400" spans="1:2" x14ac:dyDescent="0.35">
      <c r="A1400" t="s">
        <v>27</v>
      </c>
      <c r="B1400" s="33">
        <v>12546000000</v>
      </c>
    </row>
    <row r="1401" spans="1:2" x14ac:dyDescent="0.35">
      <c r="A1401" t="s">
        <v>28</v>
      </c>
      <c r="B1401" s="34">
        <v>-0.03</v>
      </c>
    </row>
    <row r="1403" spans="1:2" x14ac:dyDescent="0.35">
      <c r="A1403" t="s">
        <v>51</v>
      </c>
    </row>
    <row r="1404" spans="1:2" x14ac:dyDescent="0.35">
      <c r="A1404" t="s">
        <v>23</v>
      </c>
      <c r="B1404" s="33">
        <v>3913000000</v>
      </c>
    </row>
    <row r="1405" spans="1:2" x14ac:dyDescent="0.35">
      <c r="A1405" t="s">
        <v>24</v>
      </c>
      <c r="B1405" s="33">
        <v>6795000000</v>
      </c>
    </row>
    <row r="1406" spans="1:2" x14ac:dyDescent="0.35">
      <c r="A1406" t="s">
        <v>25</v>
      </c>
      <c r="B1406" s="33">
        <v>1877000000</v>
      </c>
    </row>
    <row r="1407" spans="1:2" x14ac:dyDescent="0.35">
      <c r="A1407" t="s">
        <v>26</v>
      </c>
      <c r="B1407" s="33">
        <v>2950000000</v>
      </c>
    </row>
    <row r="1408" spans="1:2" x14ac:dyDescent="0.35">
      <c r="A1408" t="s">
        <v>27</v>
      </c>
      <c r="B1408" s="33">
        <v>2517000000</v>
      </c>
    </row>
    <row r="1409" spans="1:2" x14ac:dyDescent="0.35">
      <c r="A1409" t="s">
        <v>28</v>
      </c>
      <c r="B1409" s="34">
        <v>1.74</v>
      </c>
    </row>
    <row r="1411" spans="1:2" x14ac:dyDescent="0.35">
      <c r="A1411" t="s">
        <v>40</v>
      </c>
    </row>
    <row r="1412" spans="1:2" x14ac:dyDescent="0.35">
      <c r="A1412" t="s">
        <v>23</v>
      </c>
      <c r="B1412" s="33">
        <v>61473000000</v>
      </c>
    </row>
    <row r="1413" spans="1:2" x14ac:dyDescent="0.35">
      <c r="A1413" t="s">
        <v>24</v>
      </c>
      <c r="B1413" t="s">
        <v>35</v>
      </c>
    </row>
    <row r="1414" spans="1:2" x14ac:dyDescent="0.35">
      <c r="A1414" t="s">
        <v>25</v>
      </c>
      <c r="B1414" s="33">
        <v>14090000000</v>
      </c>
    </row>
    <row r="1415" spans="1:2" x14ac:dyDescent="0.35">
      <c r="A1415" t="s">
        <v>26</v>
      </c>
      <c r="B1415" s="33">
        <v>18812000000</v>
      </c>
    </row>
    <row r="1416" spans="1:2" x14ac:dyDescent="0.35">
      <c r="A1416" t="s">
        <v>27</v>
      </c>
      <c r="B1416" s="33">
        <v>39519000000</v>
      </c>
    </row>
    <row r="1417" spans="1:2" x14ac:dyDescent="0.35">
      <c r="A1417" t="s">
        <v>28</v>
      </c>
      <c r="B1417" t="s">
        <v>35</v>
      </c>
    </row>
    <row r="1419" spans="1:2" x14ac:dyDescent="0.35">
      <c r="A1419" t="s">
        <v>36</v>
      </c>
    </row>
    <row r="1420" spans="1:2" x14ac:dyDescent="0.35">
      <c r="A1420" t="s">
        <v>23</v>
      </c>
      <c r="B1420" s="33">
        <v>52871000000</v>
      </c>
    </row>
    <row r="1421" spans="1:2" x14ac:dyDescent="0.35">
      <c r="A1421" t="s">
        <v>24</v>
      </c>
      <c r="B1421" s="33">
        <v>28584000000</v>
      </c>
    </row>
    <row r="1422" spans="1:2" x14ac:dyDescent="0.35">
      <c r="A1422" t="s">
        <v>25</v>
      </c>
      <c r="B1422" s="33">
        <v>15294000000</v>
      </c>
    </row>
    <row r="1423" spans="1:2" x14ac:dyDescent="0.35">
      <c r="A1423" t="s">
        <v>26</v>
      </c>
      <c r="B1423" s="33">
        <v>8968000000</v>
      </c>
    </row>
    <row r="1424" spans="1:2" x14ac:dyDescent="0.35">
      <c r="A1424" t="s">
        <v>27</v>
      </c>
      <c r="B1424" s="33">
        <v>12912000000</v>
      </c>
    </row>
    <row r="1425" spans="1:2" x14ac:dyDescent="0.35">
      <c r="A1425" t="s">
        <v>28</v>
      </c>
      <c r="B1425" s="34">
        <v>0.54</v>
      </c>
    </row>
    <row r="1427" spans="1:2" x14ac:dyDescent="0.35">
      <c r="A1427" t="s">
        <v>41</v>
      </c>
    </row>
    <row r="1428" spans="1:2" x14ac:dyDescent="0.35">
      <c r="A1428" t="s">
        <v>23</v>
      </c>
      <c r="B1428" s="33">
        <v>41831000000</v>
      </c>
    </row>
    <row r="1429" spans="1:2" x14ac:dyDescent="0.35">
      <c r="A1429" t="s">
        <v>24</v>
      </c>
      <c r="B1429" s="33">
        <v>7031000000</v>
      </c>
    </row>
    <row r="1430" spans="1:2" x14ac:dyDescent="0.35">
      <c r="A1430" t="s">
        <v>25</v>
      </c>
      <c r="B1430" s="33">
        <v>2617000000</v>
      </c>
    </row>
    <row r="1431" spans="1:2" x14ac:dyDescent="0.35">
      <c r="A1431" t="s">
        <v>26</v>
      </c>
      <c r="B1431" s="33">
        <v>4696000000</v>
      </c>
    </row>
    <row r="1432" spans="1:2" x14ac:dyDescent="0.35">
      <c r="A1432" t="s">
        <v>27</v>
      </c>
      <c r="B1432" s="33">
        <v>4622000000</v>
      </c>
    </row>
    <row r="1433" spans="1:2" x14ac:dyDescent="0.35">
      <c r="A1433" t="s">
        <v>28</v>
      </c>
      <c r="B1433" s="34">
        <v>0.17</v>
      </c>
    </row>
    <row r="1435" spans="1:2" x14ac:dyDescent="0.35">
      <c r="A1435" t="s">
        <v>42</v>
      </c>
    </row>
    <row r="1436" spans="1:2" x14ac:dyDescent="0.35">
      <c r="A1436" t="s">
        <v>23</v>
      </c>
      <c r="B1436" s="33">
        <v>36118000000</v>
      </c>
    </row>
    <row r="1437" spans="1:2" x14ac:dyDescent="0.35">
      <c r="A1437" t="s">
        <v>24</v>
      </c>
      <c r="B1437" s="33">
        <v>3057000000</v>
      </c>
    </row>
    <row r="1438" spans="1:2" x14ac:dyDescent="0.35">
      <c r="A1438" t="s">
        <v>25</v>
      </c>
      <c r="B1438" t="s">
        <v>35</v>
      </c>
    </row>
    <row r="1439" spans="1:2" x14ac:dyDescent="0.35">
      <c r="A1439" t="s">
        <v>26</v>
      </c>
      <c r="B1439" s="33">
        <v>1610000000</v>
      </c>
    </row>
    <row r="1440" spans="1:2" x14ac:dyDescent="0.35">
      <c r="A1440" t="s">
        <v>27</v>
      </c>
      <c r="B1440" s="33">
        <v>3922000000</v>
      </c>
    </row>
    <row r="1441" spans="1:2" x14ac:dyDescent="0.35">
      <c r="A1441" t="s">
        <v>28</v>
      </c>
      <c r="B1441" s="34">
        <v>0.08</v>
      </c>
    </row>
    <row r="1443" spans="1:2" x14ac:dyDescent="0.35">
      <c r="A1443" t="s">
        <v>37</v>
      </c>
    </row>
    <row r="1444" spans="1:2" x14ac:dyDescent="0.35">
      <c r="A1444" t="s">
        <v>23</v>
      </c>
      <c r="B1444" s="33">
        <v>90805000000</v>
      </c>
    </row>
    <row r="1445" spans="1:2" x14ac:dyDescent="0.35">
      <c r="A1445" t="s">
        <v>24</v>
      </c>
      <c r="B1445" s="33">
        <v>60521000000</v>
      </c>
    </row>
    <row r="1446" spans="1:2" x14ac:dyDescent="0.35">
      <c r="A1446" t="s">
        <v>25</v>
      </c>
      <c r="B1446" s="33">
        <v>2163000000</v>
      </c>
    </row>
    <row r="1447" spans="1:2" x14ac:dyDescent="0.35">
      <c r="A1447" t="s">
        <v>26</v>
      </c>
      <c r="B1447" s="33">
        <v>42779000000</v>
      </c>
    </row>
    <row r="1448" spans="1:2" x14ac:dyDescent="0.35">
      <c r="A1448" t="s">
        <v>27</v>
      </c>
      <c r="B1448" s="33">
        <v>54724000000</v>
      </c>
    </row>
    <row r="1449" spans="1:2" x14ac:dyDescent="0.35">
      <c r="A1449" t="s">
        <v>28</v>
      </c>
      <c r="B1449" s="34">
        <v>0.67</v>
      </c>
    </row>
    <row r="1451" spans="1:2" x14ac:dyDescent="0.35">
      <c r="A1451" t="s">
        <v>38</v>
      </c>
    </row>
    <row r="1452" spans="1:2" x14ac:dyDescent="0.35">
      <c r="A1452" t="s">
        <v>23</v>
      </c>
      <c r="B1452" s="33">
        <v>19322000000</v>
      </c>
    </row>
    <row r="1453" spans="1:2" x14ac:dyDescent="0.35">
      <c r="A1453" t="s">
        <v>24</v>
      </c>
      <c r="B1453" s="33">
        <v>19790000000</v>
      </c>
    </row>
    <row r="1454" spans="1:2" x14ac:dyDescent="0.35">
      <c r="A1454" t="s">
        <v>25</v>
      </c>
      <c r="B1454" s="33">
        <v>16088000000</v>
      </c>
    </row>
    <row r="1455" spans="1:2" x14ac:dyDescent="0.35">
      <c r="A1455" t="s">
        <v>26</v>
      </c>
      <c r="B1455" s="33">
        <v>3698000000</v>
      </c>
    </row>
    <row r="1456" spans="1:2" x14ac:dyDescent="0.35">
      <c r="A1456" t="s">
        <v>27</v>
      </c>
      <c r="B1456" t="s">
        <v>35</v>
      </c>
    </row>
    <row r="1457" spans="1:2" x14ac:dyDescent="0.35">
      <c r="A1457" t="s">
        <v>28</v>
      </c>
      <c r="B1457" s="34">
        <v>1.02</v>
      </c>
    </row>
    <row r="1459" spans="1:2" x14ac:dyDescent="0.35">
      <c r="A1459" t="s">
        <v>39</v>
      </c>
    </row>
    <row r="1460" spans="1:2" x14ac:dyDescent="0.35">
      <c r="A1460" t="s">
        <v>23</v>
      </c>
      <c r="B1460" s="33">
        <v>265595000000</v>
      </c>
    </row>
    <row r="1461" spans="1:2" x14ac:dyDescent="0.35">
      <c r="A1461" t="s">
        <v>24</v>
      </c>
      <c r="B1461" s="33">
        <v>146860000000</v>
      </c>
    </row>
    <row r="1462" spans="1:2" x14ac:dyDescent="0.35">
      <c r="A1462" t="s">
        <v>25</v>
      </c>
      <c r="B1462" s="33">
        <v>20553000000</v>
      </c>
    </row>
    <row r="1463" spans="1:2" x14ac:dyDescent="0.35">
      <c r="A1463" t="s">
        <v>26</v>
      </c>
      <c r="B1463" s="33">
        <v>81754000000</v>
      </c>
    </row>
    <row r="1464" spans="1:2" x14ac:dyDescent="0.35">
      <c r="A1464" t="s">
        <v>27</v>
      </c>
      <c r="B1464" s="33">
        <v>113258000000</v>
      </c>
    </row>
    <row r="1465" spans="1:2" x14ac:dyDescent="0.35">
      <c r="A1465" t="s">
        <v>28</v>
      </c>
      <c r="B1465" s="34">
        <v>0.55000000000000004</v>
      </c>
    </row>
    <row r="1467" spans="1:2" x14ac:dyDescent="0.35">
      <c r="A1467" t="s">
        <v>43</v>
      </c>
    </row>
    <row r="1468" spans="1:2" x14ac:dyDescent="0.35">
      <c r="A1468" t="s">
        <v>23</v>
      </c>
      <c r="B1468" s="33">
        <v>36148000000</v>
      </c>
    </row>
    <row r="1469" spans="1:2" x14ac:dyDescent="0.35">
      <c r="A1469" t="s">
        <v>24</v>
      </c>
      <c r="B1469" s="33">
        <v>193893000000</v>
      </c>
    </row>
    <row r="1470" spans="1:2" x14ac:dyDescent="0.35">
      <c r="A1470" t="s">
        <v>25</v>
      </c>
      <c r="B1470" t="s">
        <v>35</v>
      </c>
    </row>
    <row r="1471" spans="1:2" x14ac:dyDescent="0.35">
      <c r="A1471" t="s">
        <v>26</v>
      </c>
      <c r="B1471" s="33">
        <v>136162000000</v>
      </c>
    </row>
    <row r="1472" spans="1:2" x14ac:dyDescent="0.35">
      <c r="A1472" t="s">
        <v>27</v>
      </c>
      <c r="B1472" s="33">
        <v>154562000000</v>
      </c>
    </row>
    <row r="1473" spans="1:2" x14ac:dyDescent="0.35">
      <c r="A1473" t="s">
        <v>28</v>
      </c>
      <c r="B1473" s="34">
        <v>5.36</v>
      </c>
    </row>
    <row r="1475" spans="1:2" x14ac:dyDescent="0.35">
      <c r="A1475" t="s">
        <v>44</v>
      </c>
    </row>
    <row r="1476" spans="1:2" x14ac:dyDescent="0.35">
      <c r="A1476" t="s">
        <v>23</v>
      </c>
      <c r="B1476" s="33">
        <v>343011000000</v>
      </c>
    </row>
    <row r="1477" spans="1:2" x14ac:dyDescent="0.35">
      <c r="A1477" t="s">
        <v>24</v>
      </c>
      <c r="B1477" t="s">
        <v>35</v>
      </c>
    </row>
    <row r="1478" spans="1:2" x14ac:dyDescent="0.35">
      <c r="A1478" t="s">
        <v>25</v>
      </c>
      <c r="B1478" s="33">
        <v>71516000000</v>
      </c>
    </row>
    <row r="1479" spans="1:2" x14ac:dyDescent="0.35">
      <c r="A1479" t="s">
        <v>26</v>
      </c>
      <c r="B1479" s="33">
        <v>18352000000</v>
      </c>
    </row>
    <row r="1480" spans="1:2" x14ac:dyDescent="0.35">
      <c r="A1480" t="s">
        <v>27</v>
      </c>
      <c r="B1480" t="s">
        <v>35</v>
      </c>
    </row>
    <row r="1481" spans="1:2" x14ac:dyDescent="0.35">
      <c r="A1481" t="s">
        <v>28</v>
      </c>
      <c r="B1481" t="s">
        <v>35</v>
      </c>
    </row>
    <row r="1483" spans="1:2" x14ac:dyDescent="0.35">
      <c r="A1483" t="s">
        <v>45</v>
      </c>
    </row>
    <row r="1484" spans="1:2" x14ac:dyDescent="0.35">
      <c r="A1484" t="s">
        <v>23</v>
      </c>
      <c r="B1484" s="33">
        <v>18881000000</v>
      </c>
    </row>
    <row r="1485" spans="1:2" x14ac:dyDescent="0.35">
      <c r="A1485" t="s">
        <v>24</v>
      </c>
      <c r="B1485" t="s">
        <v>35</v>
      </c>
    </row>
    <row r="1486" spans="1:2" x14ac:dyDescent="0.35">
      <c r="A1486" t="s">
        <v>25</v>
      </c>
      <c r="B1486" s="33">
        <v>1663000000</v>
      </c>
    </row>
    <row r="1487" spans="1:2" x14ac:dyDescent="0.35">
      <c r="A1487" t="s">
        <v>26</v>
      </c>
      <c r="B1487" s="33">
        <v>3317000000</v>
      </c>
    </row>
    <row r="1488" spans="1:2" x14ac:dyDescent="0.35">
      <c r="A1488" t="s">
        <v>27</v>
      </c>
      <c r="B1488" s="33">
        <v>2330000000</v>
      </c>
    </row>
    <row r="1489" spans="1:2" x14ac:dyDescent="0.35">
      <c r="A1489" t="s">
        <v>28</v>
      </c>
      <c r="B1489" t="s">
        <v>35</v>
      </c>
    </row>
    <row r="1491" spans="1:2" x14ac:dyDescent="0.35">
      <c r="A1491" t="s">
        <v>46</v>
      </c>
    </row>
    <row r="1492" spans="1:2" x14ac:dyDescent="0.35">
      <c r="A1492" t="s">
        <v>23</v>
      </c>
      <c r="B1492" s="33">
        <v>23664000000</v>
      </c>
    </row>
    <row r="1493" spans="1:2" x14ac:dyDescent="0.35">
      <c r="A1493" t="s">
        <v>24</v>
      </c>
      <c r="B1493" s="33">
        <v>14787000000</v>
      </c>
    </row>
    <row r="1494" spans="1:2" x14ac:dyDescent="0.35">
      <c r="A1494" t="s">
        <v>25</v>
      </c>
      <c r="B1494" s="33">
        <v>6704000000</v>
      </c>
    </row>
    <row r="1495" spans="1:2" x14ac:dyDescent="0.35">
      <c r="A1495" t="s">
        <v>26</v>
      </c>
      <c r="B1495" s="33">
        <v>-1391000000</v>
      </c>
    </row>
    <row r="1496" spans="1:2" x14ac:dyDescent="0.35">
      <c r="A1496" t="s">
        <v>27</v>
      </c>
      <c r="B1496" s="33">
        <v>10778000000</v>
      </c>
    </row>
    <row r="1497" spans="1:2" x14ac:dyDescent="0.35">
      <c r="A1497" t="s">
        <v>28</v>
      </c>
      <c r="B1497" s="34">
        <v>0.62</v>
      </c>
    </row>
    <row r="1499" spans="1:2" x14ac:dyDescent="0.35">
      <c r="A1499" t="s">
        <v>47</v>
      </c>
    </row>
    <row r="1500" spans="1:2" x14ac:dyDescent="0.35">
      <c r="A1500" t="s">
        <v>23</v>
      </c>
      <c r="B1500" s="33">
        <v>30818000000</v>
      </c>
    </row>
    <row r="1501" spans="1:2" x14ac:dyDescent="0.35">
      <c r="A1501" t="s">
        <v>24</v>
      </c>
      <c r="B1501" s="33">
        <v>2786000000</v>
      </c>
    </row>
    <row r="1502" spans="1:2" x14ac:dyDescent="0.35">
      <c r="A1502" t="s">
        <v>25</v>
      </c>
      <c r="B1502" s="33">
        <v>3287000000</v>
      </c>
    </row>
    <row r="1503" spans="1:2" x14ac:dyDescent="0.35">
      <c r="A1503" t="s">
        <v>26</v>
      </c>
      <c r="B1503" s="33">
        <v>4411000000</v>
      </c>
    </row>
    <row r="1504" spans="1:2" x14ac:dyDescent="0.35">
      <c r="A1504" t="s">
        <v>27</v>
      </c>
      <c r="B1504" t="s">
        <v>35</v>
      </c>
    </row>
    <row r="1505" spans="1:2" x14ac:dyDescent="0.35">
      <c r="A1505" t="s">
        <v>28</v>
      </c>
      <c r="B1505" s="34">
        <v>0.09</v>
      </c>
    </row>
    <row r="1507" spans="1:2" x14ac:dyDescent="0.35">
      <c r="A1507" t="s">
        <v>48</v>
      </c>
    </row>
    <row r="1508" spans="1:2" x14ac:dyDescent="0.35">
      <c r="A1508" t="s">
        <v>23</v>
      </c>
      <c r="B1508" s="33">
        <v>31519000000</v>
      </c>
    </row>
    <row r="1509" spans="1:2" x14ac:dyDescent="0.35">
      <c r="A1509" t="s">
        <v>24</v>
      </c>
      <c r="B1509" s="33">
        <v>18008000000</v>
      </c>
    </row>
    <row r="1510" spans="1:2" x14ac:dyDescent="0.35">
      <c r="A1510" t="s">
        <v>25</v>
      </c>
      <c r="B1510" s="33">
        <v>9913000000</v>
      </c>
    </row>
    <row r="1511" spans="1:2" x14ac:dyDescent="0.35">
      <c r="A1511" t="s">
        <v>26</v>
      </c>
      <c r="B1511" s="33">
        <v>6071000000</v>
      </c>
    </row>
    <row r="1512" spans="1:2" x14ac:dyDescent="0.35">
      <c r="A1512" t="s">
        <v>27</v>
      </c>
      <c r="B1512" s="33">
        <v>7163000000</v>
      </c>
    </row>
    <row r="1513" spans="1:2" x14ac:dyDescent="0.35">
      <c r="A1513" t="s">
        <v>28</v>
      </c>
      <c r="B1513" s="34">
        <v>0.56999999999999995</v>
      </c>
    </row>
    <row r="1515" spans="1:2" x14ac:dyDescent="0.35">
      <c r="A1515" t="s">
        <v>49</v>
      </c>
    </row>
    <row r="1516" spans="1:2" x14ac:dyDescent="0.35">
      <c r="A1516" t="s">
        <v>23</v>
      </c>
      <c r="B1516" s="33">
        <v>12298000000</v>
      </c>
    </row>
    <row r="1517" spans="1:2" x14ac:dyDescent="0.35">
      <c r="A1517" t="s">
        <v>24</v>
      </c>
      <c r="B1517" t="s">
        <v>35</v>
      </c>
    </row>
    <row r="1518" spans="1:2" x14ac:dyDescent="0.35">
      <c r="A1518" t="s">
        <v>25</v>
      </c>
      <c r="B1518" s="33">
        <v>2212000000</v>
      </c>
    </row>
    <row r="1519" spans="1:2" x14ac:dyDescent="0.35">
      <c r="A1519" t="s">
        <v>26</v>
      </c>
      <c r="B1519" s="33">
        <v>-1033000000</v>
      </c>
    </row>
    <row r="1520" spans="1:2" x14ac:dyDescent="0.35">
      <c r="A1520" t="s">
        <v>27</v>
      </c>
      <c r="B1520" s="33">
        <v>4221000000</v>
      </c>
    </row>
    <row r="1521" spans="1:2" x14ac:dyDescent="0.35">
      <c r="A1521" t="s">
        <v>28</v>
      </c>
      <c r="B1521" t="s">
        <v>35</v>
      </c>
    </row>
    <row r="1523" spans="1:2" x14ac:dyDescent="0.35">
      <c r="A1523" t="s">
        <v>50</v>
      </c>
    </row>
    <row r="1524" spans="1:2" x14ac:dyDescent="0.35">
      <c r="A1524" t="s">
        <v>23</v>
      </c>
      <c r="B1524" s="33">
        <v>91141000000</v>
      </c>
    </row>
    <row r="1525" spans="1:2" x14ac:dyDescent="0.35">
      <c r="A1525" t="s">
        <v>24</v>
      </c>
      <c r="B1525" s="33">
        <v>-3135000000</v>
      </c>
    </row>
    <row r="1526" spans="1:2" x14ac:dyDescent="0.35">
      <c r="A1526" t="s">
        <v>25</v>
      </c>
      <c r="B1526" s="33">
        <v>8554000000</v>
      </c>
    </row>
    <row r="1527" spans="1:2" x14ac:dyDescent="0.35">
      <c r="A1527" t="s">
        <v>26</v>
      </c>
      <c r="B1527" s="33">
        <v>12969000000</v>
      </c>
    </row>
    <row r="1528" spans="1:2" x14ac:dyDescent="0.35">
      <c r="A1528" t="s">
        <v>27</v>
      </c>
      <c r="B1528" s="33">
        <v>12546000000</v>
      </c>
    </row>
    <row r="1529" spans="1:2" x14ac:dyDescent="0.35">
      <c r="A1529" t="s">
        <v>28</v>
      </c>
      <c r="B1529" s="34">
        <v>-0.03</v>
      </c>
    </row>
    <row r="1531" spans="1:2" x14ac:dyDescent="0.35">
      <c r="A1531" t="s">
        <v>51</v>
      </c>
    </row>
    <row r="1532" spans="1:2" x14ac:dyDescent="0.35">
      <c r="A1532" t="s">
        <v>23</v>
      </c>
      <c r="B1532" s="33">
        <v>3913000000</v>
      </c>
    </row>
    <row r="1533" spans="1:2" x14ac:dyDescent="0.35">
      <c r="A1533" t="s">
        <v>24</v>
      </c>
      <c r="B1533" s="33">
        <v>6795000000</v>
      </c>
    </row>
    <row r="1534" spans="1:2" x14ac:dyDescent="0.35">
      <c r="A1534" t="s">
        <v>25</v>
      </c>
      <c r="B1534" s="33">
        <v>1877000000</v>
      </c>
    </row>
    <row r="1535" spans="1:2" x14ac:dyDescent="0.35">
      <c r="A1535" t="s">
        <v>26</v>
      </c>
      <c r="B1535" s="33">
        <v>2950000000</v>
      </c>
    </row>
    <row r="1536" spans="1:2" x14ac:dyDescent="0.35">
      <c r="A1536" t="s">
        <v>27</v>
      </c>
      <c r="B1536" s="33">
        <v>2517000000</v>
      </c>
    </row>
    <row r="1537" spans="1:2" x14ac:dyDescent="0.35">
      <c r="A1537" t="s">
        <v>28</v>
      </c>
      <c r="B1537" s="34">
        <v>1.74</v>
      </c>
    </row>
    <row r="1539" spans="1:2" x14ac:dyDescent="0.35">
      <c r="A1539" t="s">
        <v>40</v>
      </c>
    </row>
    <row r="1540" spans="1:2" x14ac:dyDescent="0.35">
      <c r="A1540" t="s">
        <v>23</v>
      </c>
      <c r="B1540" s="33">
        <v>61473000000</v>
      </c>
    </row>
    <row r="1541" spans="1:2" x14ac:dyDescent="0.35">
      <c r="A1541" t="s">
        <v>24</v>
      </c>
      <c r="B1541" t="s">
        <v>35</v>
      </c>
    </row>
    <row r="1542" spans="1:2" x14ac:dyDescent="0.35">
      <c r="A1542" t="s">
        <v>25</v>
      </c>
      <c r="B1542" s="33">
        <v>14090000000</v>
      </c>
    </row>
    <row r="1543" spans="1:2" x14ac:dyDescent="0.35">
      <c r="A1543" t="s">
        <v>26</v>
      </c>
      <c r="B1543" s="33">
        <v>18812000000</v>
      </c>
    </row>
    <row r="1544" spans="1:2" x14ac:dyDescent="0.35">
      <c r="A1544" t="s">
        <v>27</v>
      </c>
      <c r="B1544" s="33">
        <v>39519000000</v>
      </c>
    </row>
    <row r="1545" spans="1:2" x14ac:dyDescent="0.35">
      <c r="A1545" t="s">
        <v>28</v>
      </c>
      <c r="B1545" t="s">
        <v>35</v>
      </c>
    </row>
    <row r="1547" spans="1:2" x14ac:dyDescent="0.35">
      <c r="A1547" t="s">
        <v>36</v>
      </c>
    </row>
    <row r="1548" spans="1:2" x14ac:dyDescent="0.35">
      <c r="A1548" t="s">
        <v>23</v>
      </c>
      <c r="B1548" s="33">
        <v>52871000000</v>
      </c>
    </row>
    <row r="1549" spans="1:2" x14ac:dyDescent="0.35">
      <c r="A1549" t="s">
        <v>24</v>
      </c>
      <c r="B1549" s="33">
        <v>28584000000</v>
      </c>
    </row>
    <row r="1550" spans="1:2" x14ac:dyDescent="0.35">
      <c r="A1550" t="s">
        <v>25</v>
      </c>
      <c r="B1550" s="33">
        <v>15294000000</v>
      </c>
    </row>
    <row r="1551" spans="1:2" x14ac:dyDescent="0.35">
      <c r="A1551" t="s">
        <v>26</v>
      </c>
      <c r="B1551" s="33">
        <v>8968000000</v>
      </c>
    </row>
    <row r="1552" spans="1:2" x14ac:dyDescent="0.35">
      <c r="A1552" t="s">
        <v>27</v>
      </c>
      <c r="B1552" s="33">
        <v>12912000000</v>
      </c>
    </row>
    <row r="1553" spans="1:2" x14ac:dyDescent="0.35">
      <c r="A1553" t="s">
        <v>28</v>
      </c>
      <c r="B1553" s="34">
        <v>0.54</v>
      </c>
    </row>
    <row r="1555" spans="1:2" x14ac:dyDescent="0.35">
      <c r="A1555" t="s">
        <v>41</v>
      </c>
    </row>
    <row r="1556" spans="1:2" x14ac:dyDescent="0.35">
      <c r="A1556" t="s">
        <v>23</v>
      </c>
      <c r="B1556" s="33">
        <v>41831000000</v>
      </c>
    </row>
    <row r="1557" spans="1:2" x14ac:dyDescent="0.35">
      <c r="A1557" t="s">
        <v>24</v>
      </c>
      <c r="B1557" s="33">
        <v>7031000000</v>
      </c>
    </row>
    <row r="1558" spans="1:2" x14ac:dyDescent="0.35">
      <c r="A1558" t="s">
        <v>25</v>
      </c>
      <c r="B1558" s="33">
        <v>2617000000</v>
      </c>
    </row>
    <row r="1559" spans="1:2" x14ac:dyDescent="0.35">
      <c r="A1559" t="s">
        <v>26</v>
      </c>
      <c r="B1559" s="33">
        <v>4696000000</v>
      </c>
    </row>
    <row r="1560" spans="1:2" x14ac:dyDescent="0.35">
      <c r="A1560" t="s">
        <v>27</v>
      </c>
      <c r="B1560" s="33">
        <v>4622000000</v>
      </c>
    </row>
    <row r="1561" spans="1:2" x14ac:dyDescent="0.35">
      <c r="A1561" t="s">
        <v>28</v>
      </c>
      <c r="B1561" s="34">
        <v>0.17</v>
      </c>
    </row>
    <row r="1563" spans="1:2" x14ac:dyDescent="0.35">
      <c r="A1563" t="s">
        <v>42</v>
      </c>
    </row>
    <row r="1564" spans="1:2" x14ac:dyDescent="0.35">
      <c r="A1564" t="s">
        <v>23</v>
      </c>
      <c r="B1564" s="33">
        <v>36118000000</v>
      </c>
    </row>
    <row r="1565" spans="1:2" x14ac:dyDescent="0.35">
      <c r="A1565" t="s">
        <v>24</v>
      </c>
      <c r="B1565" s="33">
        <v>3057000000</v>
      </c>
    </row>
    <row r="1566" spans="1:2" x14ac:dyDescent="0.35">
      <c r="A1566" t="s">
        <v>25</v>
      </c>
      <c r="B1566" t="s">
        <v>35</v>
      </c>
    </row>
    <row r="1567" spans="1:2" x14ac:dyDescent="0.35">
      <c r="A1567" t="s">
        <v>26</v>
      </c>
      <c r="B1567" s="33">
        <v>1610000000</v>
      </c>
    </row>
    <row r="1568" spans="1:2" x14ac:dyDescent="0.35">
      <c r="A1568" t="s">
        <v>27</v>
      </c>
      <c r="B1568" s="33">
        <v>3922000000</v>
      </c>
    </row>
    <row r="1569" spans="1:2" x14ac:dyDescent="0.35">
      <c r="A1569" t="s">
        <v>28</v>
      </c>
      <c r="B1569" s="34">
        <v>0.08</v>
      </c>
    </row>
    <row r="1571" spans="1:2" x14ac:dyDescent="0.35">
      <c r="A1571" t="s">
        <v>37</v>
      </c>
    </row>
    <row r="1572" spans="1:2" x14ac:dyDescent="0.35">
      <c r="A1572" t="s">
        <v>23</v>
      </c>
      <c r="B1572" s="33">
        <v>90805000000</v>
      </c>
    </row>
    <row r="1573" spans="1:2" x14ac:dyDescent="0.35">
      <c r="A1573" t="s">
        <v>24</v>
      </c>
      <c r="B1573" s="33">
        <v>60521000000</v>
      </c>
    </row>
    <row r="1574" spans="1:2" x14ac:dyDescent="0.35">
      <c r="A1574" t="s">
        <v>25</v>
      </c>
      <c r="B1574" s="33">
        <v>2163000000</v>
      </c>
    </row>
    <row r="1575" spans="1:2" x14ac:dyDescent="0.35">
      <c r="A1575" t="s">
        <v>26</v>
      </c>
      <c r="B1575" s="33">
        <v>42779000000</v>
      </c>
    </row>
    <row r="1576" spans="1:2" x14ac:dyDescent="0.35">
      <c r="A1576" t="s">
        <v>27</v>
      </c>
      <c r="B1576" s="33">
        <v>54724000000</v>
      </c>
    </row>
    <row r="1577" spans="1:2" x14ac:dyDescent="0.35">
      <c r="A1577" t="s">
        <v>28</v>
      </c>
      <c r="B1577" s="34">
        <v>0.67</v>
      </c>
    </row>
    <row r="1579" spans="1:2" x14ac:dyDescent="0.35">
      <c r="A1579" t="s">
        <v>38</v>
      </c>
    </row>
    <row r="1580" spans="1:2" x14ac:dyDescent="0.35">
      <c r="A1580" t="s">
        <v>23</v>
      </c>
      <c r="B1580" s="33">
        <v>19322000000</v>
      </c>
    </row>
    <row r="1581" spans="1:2" x14ac:dyDescent="0.35">
      <c r="A1581" t="s">
        <v>24</v>
      </c>
      <c r="B1581" s="33">
        <v>19790000000</v>
      </c>
    </row>
    <row r="1582" spans="1:2" x14ac:dyDescent="0.35">
      <c r="A1582" t="s">
        <v>25</v>
      </c>
      <c r="B1582" s="33">
        <v>16088000000</v>
      </c>
    </row>
    <row r="1583" spans="1:2" x14ac:dyDescent="0.35">
      <c r="A1583" t="s">
        <v>26</v>
      </c>
      <c r="B1583" s="33">
        <v>3698000000</v>
      </c>
    </row>
    <row r="1584" spans="1:2" x14ac:dyDescent="0.35">
      <c r="A1584" t="s">
        <v>27</v>
      </c>
      <c r="B1584" t="s">
        <v>35</v>
      </c>
    </row>
    <row r="1585" spans="1:2" x14ac:dyDescent="0.35">
      <c r="A1585" t="s">
        <v>28</v>
      </c>
      <c r="B1585" s="34">
        <v>1.02</v>
      </c>
    </row>
    <row r="1587" spans="1:2" x14ac:dyDescent="0.35">
      <c r="A1587" t="s">
        <v>39</v>
      </c>
    </row>
    <row r="1588" spans="1:2" x14ac:dyDescent="0.35">
      <c r="A1588" t="s">
        <v>23</v>
      </c>
      <c r="B1588" s="33">
        <v>265595000000</v>
      </c>
    </row>
    <row r="1589" spans="1:2" x14ac:dyDescent="0.35">
      <c r="A1589" t="s">
        <v>24</v>
      </c>
      <c r="B1589" s="33">
        <v>146860000000</v>
      </c>
    </row>
    <row r="1590" spans="1:2" x14ac:dyDescent="0.35">
      <c r="A1590" t="s">
        <v>25</v>
      </c>
      <c r="B1590" s="33">
        <v>20553000000</v>
      </c>
    </row>
    <row r="1591" spans="1:2" x14ac:dyDescent="0.35">
      <c r="A1591" t="s">
        <v>26</v>
      </c>
      <c r="B1591" s="33">
        <v>81754000000</v>
      </c>
    </row>
    <row r="1592" spans="1:2" x14ac:dyDescent="0.35">
      <c r="A1592" t="s">
        <v>27</v>
      </c>
      <c r="B1592" s="33">
        <v>113258000000</v>
      </c>
    </row>
    <row r="1593" spans="1:2" x14ac:dyDescent="0.35">
      <c r="A1593" t="s">
        <v>28</v>
      </c>
      <c r="B1593" s="34">
        <v>0.55000000000000004</v>
      </c>
    </row>
    <row r="1595" spans="1:2" x14ac:dyDescent="0.35">
      <c r="A1595" t="s">
        <v>43</v>
      </c>
    </row>
    <row r="1596" spans="1:2" x14ac:dyDescent="0.35">
      <c r="A1596" t="s">
        <v>23</v>
      </c>
      <c r="B1596" s="33">
        <v>36148000000</v>
      </c>
    </row>
    <row r="1597" spans="1:2" x14ac:dyDescent="0.35">
      <c r="A1597" t="s">
        <v>24</v>
      </c>
      <c r="B1597" s="33">
        <v>193893000000</v>
      </c>
    </row>
    <row r="1598" spans="1:2" x14ac:dyDescent="0.35">
      <c r="A1598" t="s">
        <v>25</v>
      </c>
      <c r="B1598" t="s">
        <v>35</v>
      </c>
    </row>
    <row r="1599" spans="1:2" x14ac:dyDescent="0.35">
      <c r="A1599" t="s">
        <v>26</v>
      </c>
      <c r="B1599" s="33">
        <v>136162000000</v>
      </c>
    </row>
    <row r="1600" spans="1:2" x14ac:dyDescent="0.35">
      <c r="A1600" t="s">
        <v>27</v>
      </c>
      <c r="B1600" s="33">
        <v>154562000000</v>
      </c>
    </row>
    <row r="1601" spans="1:2" x14ac:dyDescent="0.35">
      <c r="A1601" t="s">
        <v>28</v>
      </c>
      <c r="B1601" s="34">
        <v>5.36</v>
      </c>
    </row>
    <row r="1603" spans="1:2" x14ac:dyDescent="0.35">
      <c r="A1603" t="s">
        <v>44</v>
      </c>
    </row>
    <row r="1604" spans="1:2" x14ac:dyDescent="0.35">
      <c r="A1604" t="s">
        <v>23</v>
      </c>
      <c r="B1604" s="33">
        <v>343011000000</v>
      </c>
    </row>
    <row r="1605" spans="1:2" x14ac:dyDescent="0.35">
      <c r="A1605" t="s">
        <v>24</v>
      </c>
      <c r="B1605" t="s">
        <v>35</v>
      </c>
    </row>
    <row r="1606" spans="1:2" x14ac:dyDescent="0.35">
      <c r="A1606" t="s">
        <v>25</v>
      </c>
      <c r="B1606" s="33">
        <v>71516000000</v>
      </c>
    </row>
    <row r="1607" spans="1:2" x14ac:dyDescent="0.35">
      <c r="A1607" t="s">
        <v>26</v>
      </c>
      <c r="B1607" s="33">
        <v>18352000000</v>
      </c>
    </row>
    <row r="1608" spans="1:2" x14ac:dyDescent="0.35">
      <c r="A1608" t="s">
        <v>27</v>
      </c>
      <c r="B1608" t="s">
        <v>35</v>
      </c>
    </row>
    <row r="1609" spans="1:2" x14ac:dyDescent="0.35">
      <c r="A1609" t="s">
        <v>28</v>
      </c>
      <c r="B1609" t="s">
        <v>35</v>
      </c>
    </row>
    <row r="1611" spans="1:2" x14ac:dyDescent="0.35">
      <c r="A1611" t="s">
        <v>45</v>
      </c>
    </row>
    <row r="1612" spans="1:2" x14ac:dyDescent="0.35">
      <c r="A1612" t="s">
        <v>23</v>
      </c>
      <c r="B1612" s="33">
        <v>18881000000</v>
      </c>
    </row>
    <row r="1613" spans="1:2" x14ac:dyDescent="0.35">
      <c r="A1613" t="s">
        <v>24</v>
      </c>
      <c r="B1613" t="s">
        <v>35</v>
      </c>
    </row>
    <row r="1614" spans="1:2" x14ac:dyDescent="0.35">
      <c r="A1614" t="s">
        <v>25</v>
      </c>
      <c r="B1614" s="33">
        <v>1663000000</v>
      </c>
    </row>
    <row r="1615" spans="1:2" x14ac:dyDescent="0.35">
      <c r="A1615" t="s">
        <v>26</v>
      </c>
      <c r="B1615" s="33">
        <v>3317000000</v>
      </c>
    </row>
    <row r="1616" spans="1:2" x14ac:dyDescent="0.35">
      <c r="A1616" t="s">
        <v>27</v>
      </c>
      <c r="B1616" s="33">
        <v>2330000000</v>
      </c>
    </row>
    <row r="1617" spans="1:2" x14ac:dyDescent="0.35">
      <c r="A1617" t="s">
        <v>28</v>
      </c>
      <c r="B1617" t="s">
        <v>35</v>
      </c>
    </row>
    <row r="1619" spans="1:2" x14ac:dyDescent="0.35">
      <c r="A1619" t="s">
        <v>46</v>
      </c>
    </row>
    <row r="1620" spans="1:2" x14ac:dyDescent="0.35">
      <c r="A1620" t="s">
        <v>23</v>
      </c>
      <c r="B1620" s="33">
        <v>23664000000</v>
      </c>
    </row>
    <row r="1621" spans="1:2" x14ac:dyDescent="0.35">
      <c r="A1621" t="s">
        <v>24</v>
      </c>
      <c r="B1621" s="33">
        <v>14787000000</v>
      </c>
    </row>
    <row r="1622" spans="1:2" x14ac:dyDescent="0.35">
      <c r="A1622" t="s">
        <v>25</v>
      </c>
      <c r="B1622" s="33">
        <v>6704000000</v>
      </c>
    </row>
    <row r="1623" spans="1:2" x14ac:dyDescent="0.35">
      <c r="A1623" t="s">
        <v>26</v>
      </c>
      <c r="B1623" s="33">
        <v>-1391000000</v>
      </c>
    </row>
    <row r="1624" spans="1:2" x14ac:dyDescent="0.35">
      <c r="A1624" t="s">
        <v>27</v>
      </c>
      <c r="B1624" s="33">
        <v>10778000000</v>
      </c>
    </row>
    <row r="1625" spans="1:2" x14ac:dyDescent="0.35">
      <c r="A1625" t="s">
        <v>28</v>
      </c>
      <c r="B1625" s="34">
        <v>0.62</v>
      </c>
    </row>
    <row r="1627" spans="1:2" x14ac:dyDescent="0.35">
      <c r="A1627" t="s">
        <v>47</v>
      </c>
    </row>
    <row r="1628" spans="1:2" x14ac:dyDescent="0.35">
      <c r="A1628" t="s">
        <v>23</v>
      </c>
      <c r="B1628" s="33">
        <v>30818000000</v>
      </c>
    </row>
    <row r="1629" spans="1:2" x14ac:dyDescent="0.35">
      <c r="A1629" t="s">
        <v>24</v>
      </c>
      <c r="B1629" s="33">
        <v>2786000000</v>
      </c>
    </row>
    <row r="1630" spans="1:2" x14ac:dyDescent="0.35">
      <c r="A1630" t="s">
        <v>25</v>
      </c>
      <c r="B1630" s="33">
        <v>3287000000</v>
      </c>
    </row>
    <row r="1631" spans="1:2" x14ac:dyDescent="0.35">
      <c r="A1631" t="s">
        <v>26</v>
      </c>
      <c r="B1631" s="33">
        <v>4411000000</v>
      </c>
    </row>
    <row r="1632" spans="1:2" x14ac:dyDescent="0.35">
      <c r="A1632" t="s">
        <v>27</v>
      </c>
      <c r="B1632" t="s">
        <v>35</v>
      </c>
    </row>
    <row r="1633" spans="1:2" x14ac:dyDescent="0.35">
      <c r="A1633" t="s">
        <v>28</v>
      </c>
      <c r="B1633" s="34">
        <v>0.09</v>
      </c>
    </row>
    <row r="1635" spans="1:2" x14ac:dyDescent="0.35">
      <c r="A1635" t="s">
        <v>48</v>
      </c>
    </row>
    <row r="1636" spans="1:2" x14ac:dyDescent="0.35">
      <c r="A1636" t="s">
        <v>23</v>
      </c>
      <c r="B1636" s="33">
        <v>31519000000</v>
      </c>
    </row>
    <row r="1637" spans="1:2" x14ac:dyDescent="0.35">
      <c r="A1637" t="s">
        <v>24</v>
      </c>
      <c r="B1637" s="33">
        <v>18008000000</v>
      </c>
    </row>
    <row r="1638" spans="1:2" x14ac:dyDescent="0.35">
      <c r="A1638" t="s">
        <v>25</v>
      </c>
      <c r="B1638" s="33">
        <v>9913000000</v>
      </c>
    </row>
    <row r="1639" spans="1:2" x14ac:dyDescent="0.35">
      <c r="A1639" t="s">
        <v>26</v>
      </c>
      <c r="B1639" s="33">
        <v>6071000000</v>
      </c>
    </row>
    <row r="1640" spans="1:2" x14ac:dyDescent="0.35">
      <c r="A1640" t="s">
        <v>27</v>
      </c>
      <c r="B1640" s="33">
        <v>7163000000</v>
      </c>
    </row>
    <row r="1641" spans="1:2" x14ac:dyDescent="0.35">
      <c r="A1641" t="s">
        <v>28</v>
      </c>
      <c r="B1641" s="34">
        <v>0.56999999999999995</v>
      </c>
    </row>
    <row r="1643" spans="1:2" x14ac:dyDescent="0.35">
      <c r="A1643" t="s">
        <v>49</v>
      </c>
    </row>
    <row r="1644" spans="1:2" x14ac:dyDescent="0.35">
      <c r="A1644" t="s">
        <v>23</v>
      </c>
      <c r="B1644" s="33">
        <v>12298000000</v>
      </c>
    </row>
    <row r="1645" spans="1:2" x14ac:dyDescent="0.35">
      <c r="A1645" t="s">
        <v>24</v>
      </c>
      <c r="B1645" t="s">
        <v>35</v>
      </c>
    </row>
    <row r="1646" spans="1:2" x14ac:dyDescent="0.35">
      <c r="A1646" t="s">
        <v>25</v>
      </c>
      <c r="B1646" s="33">
        <v>2212000000</v>
      </c>
    </row>
    <row r="1647" spans="1:2" x14ac:dyDescent="0.35">
      <c r="A1647" t="s">
        <v>26</v>
      </c>
      <c r="B1647" s="33">
        <v>-1033000000</v>
      </c>
    </row>
    <row r="1648" spans="1:2" x14ac:dyDescent="0.35">
      <c r="A1648" t="s">
        <v>27</v>
      </c>
      <c r="B1648" s="33">
        <v>4221000000</v>
      </c>
    </row>
    <row r="1649" spans="1:2" x14ac:dyDescent="0.35">
      <c r="A1649" t="s">
        <v>28</v>
      </c>
      <c r="B1649" t="s">
        <v>35</v>
      </c>
    </row>
    <row r="1651" spans="1:2" x14ac:dyDescent="0.35">
      <c r="A1651" t="s">
        <v>50</v>
      </c>
    </row>
    <row r="1652" spans="1:2" x14ac:dyDescent="0.35">
      <c r="A1652" t="s">
        <v>23</v>
      </c>
      <c r="B1652" s="33">
        <v>91141000000</v>
      </c>
    </row>
    <row r="1653" spans="1:2" x14ac:dyDescent="0.35">
      <c r="A1653" t="s">
        <v>24</v>
      </c>
      <c r="B1653" s="33">
        <v>-3135000000</v>
      </c>
    </row>
    <row r="1654" spans="1:2" x14ac:dyDescent="0.35">
      <c r="A1654" t="s">
        <v>25</v>
      </c>
      <c r="B1654" s="33">
        <v>8554000000</v>
      </c>
    </row>
    <row r="1655" spans="1:2" x14ac:dyDescent="0.35">
      <c r="A1655" t="s">
        <v>26</v>
      </c>
      <c r="B1655" s="33">
        <v>12969000000</v>
      </c>
    </row>
    <row r="1656" spans="1:2" x14ac:dyDescent="0.35">
      <c r="A1656" t="s">
        <v>27</v>
      </c>
      <c r="B1656" s="33">
        <v>12546000000</v>
      </c>
    </row>
    <row r="1657" spans="1:2" x14ac:dyDescent="0.35">
      <c r="A1657" t="s">
        <v>28</v>
      </c>
      <c r="B1657" s="34">
        <v>-0.03</v>
      </c>
    </row>
    <row r="1659" spans="1:2" x14ac:dyDescent="0.35">
      <c r="A1659" t="s">
        <v>51</v>
      </c>
    </row>
    <row r="1660" spans="1:2" x14ac:dyDescent="0.35">
      <c r="A1660" t="s">
        <v>23</v>
      </c>
      <c r="B1660" s="33">
        <v>3913000000</v>
      </c>
    </row>
    <row r="1661" spans="1:2" x14ac:dyDescent="0.35">
      <c r="A1661" t="s">
        <v>24</v>
      </c>
      <c r="B1661" s="33">
        <v>6795000000</v>
      </c>
    </row>
    <row r="1662" spans="1:2" x14ac:dyDescent="0.35">
      <c r="A1662" t="s">
        <v>25</v>
      </c>
      <c r="B1662" s="33">
        <v>1877000000</v>
      </c>
    </row>
    <row r="1663" spans="1:2" x14ac:dyDescent="0.35">
      <c r="A1663" t="s">
        <v>26</v>
      </c>
      <c r="B1663" s="33">
        <v>2950000000</v>
      </c>
    </row>
    <row r="1664" spans="1:2" x14ac:dyDescent="0.35">
      <c r="A1664" t="s">
        <v>27</v>
      </c>
      <c r="B1664" s="33">
        <v>2517000000</v>
      </c>
    </row>
    <row r="1665" spans="1:2" x14ac:dyDescent="0.35">
      <c r="A1665" t="s">
        <v>28</v>
      </c>
      <c r="B1665" s="34">
        <v>1.74</v>
      </c>
    </row>
    <row r="1667" spans="1:2" x14ac:dyDescent="0.35">
      <c r="A1667" t="s">
        <v>40</v>
      </c>
    </row>
    <row r="1668" spans="1:2" x14ac:dyDescent="0.35">
      <c r="A1668" t="s">
        <v>23</v>
      </c>
      <c r="B1668" s="33">
        <v>61473000000</v>
      </c>
    </row>
    <row r="1669" spans="1:2" x14ac:dyDescent="0.35">
      <c r="A1669" t="s">
        <v>24</v>
      </c>
      <c r="B1669" t="s">
        <v>35</v>
      </c>
    </row>
    <row r="1670" spans="1:2" x14ac:dyDescent="0.35">
      <c r="A1670" t="s">
        <v>25</v>
      </c>
      <c r="B1670" s="33">
        <v>14090000000</v>
      </c>
    </row>
    <row r="1671" spans="1:2" x14ac:dyDescent="0.35">
      <c r="A1671" t="s">
        <v>26</v>
      </c>
      <c r="B1671" s="33">
        <v>18812000000</v>
      </c>
    </row>
    <row r="1672" spans="1:2" x14ac:dyDescent="0.35">
      <c r="A1672" t="s">
        <v>27</v>
      </c>
      <c r="B1672" s="33">
        <v>39519000000</v>
      </c>
    </row>
    <row r="1673" spans="1:2" x14ac:dyDescent="0.35">
      <c r="A1673" t="s">
        <v>28</v>
      </c>
      <c r="B1673" t="s">
        <v>35</v>
      </c>
    </row>
    <row r="1675" spans="1:2" x14ac:dyDescent="0.35">
      <c r="A1675" t="s">
        <v>36</v>
      </c>
    </row>
    <row r="1676" spans="1:2" x14ac:dyDescent="0.35">
      <c r="A1676" t="s">
        <v>23</v>
      </c>
      <c r="B1676" s="33">
        <v>52871000000</v>
      </c>
    </row>
    <row r="1677" spans="1:2" x14ac:dyDescent="0.35">
      <c r="A1677" t="s">
        <v>24</v>
      </c>
      <c r="B1677" s="33">
        <v>28584000000</v>
      </c>
    </row>
    <row r="1678" spans="1:2" x14ac:dyDescent="0.35">
      <c r="A1678" t="s">
        <v>25</v>
      </c>
      <c r="B1678" s="33">
        <v>15294000000</v>
      </c>
    </row>
    <row r="1679" spans="1:2" x14ac:dyDescent="0.35">
      <c r="A1679" t="s">
        <v>26</v>
      </c>
      <c r="B1679" s="33">
        <v>8968000000</v>
      </c>
    </row>
    <row r="1680" spans="1:2" x14ac:dyDescent="0.35">
      <c r="A1680" t="s">
        <v>27</v>
      </c>
      <c r="B1680" s="33">
        <v>12912000000</v>
      </c>
    </row>
    <row r="1681" spans="1:2" x14ac:dyDescent="0.35">
      <c r="A1681" t="s">
        <v>28</v>
      </c>
      <c r="B1681" s="34">
        <v>0.54</v>
      </c>
    </row>
    <row r="1683" spans="1:2" x14ac:dyDescent="0.35">
      <c r="A1683" t="s">
        <v>41</v>
      </c>
    </row>
    <row r="1684" spans="1:2" x14ac:dyDescent="0.35">
      <c r="A1684" t="s">
        <v>23</v>
      </c>
      <c r="B1684" s="33">
        <v>41831000000</v>
      </c>
    </row>
    <row r="1685" spans="1:2" x14ac:dyDescent="0.35">
      <c r="A1685" t="s">
        <v>24</v>
      </c>
      <c r="B1685" s="33">
        <v>7031000000</v>
      </c>
    </row>
    <row r="1686" spans="1:2" x14ac:dyDescent="0.35">
      <c r="A1686" t="s">
        <v>25</v>
      </c>
      <c r="B1686" s="33">
        <v>2617000000</v>
      </c>
    </row>
    <row r="1687" spans="1:2" x14ac:dyDescent="0.35">
      <c r="A1687" t="s">
        <v>26</v>
      </c>
      <c r="B1687" s="33">
        <v>4696000000</v>
      </c>
    </row>
    <row r="1688" spans="1:2" x14ac:dyDescent="0.35">
      <c r="A1688" t="s">
        <v>27</v>
      </c>
      <c r="B1688" s="33">
        <v>4622000000</v>
      </c>
    </row>
    <row r="1689" spans="1:2" x14ac:dyDescent="0.35">
      <c r="A1689" t="s">
        <v>28</v>
      </c>
      <c r="B1689" s="34">
        <v>0.17</v>
      </c>
    </row>
    <row r="1691" spans="1:2" x14ac:dyDescent="0.35">
      <c r="A1691" t="s">
        <v>42</v>
      </c>
    </row>
    <row r="1692" spans="1:2" x14ac:dyDescent="0.35">
      <c r="A1692" t="s">
        <v>23</v>
      </c>
      <c r="B1692" s="33">
        <v>36118000000</v>
      </c>
    </row>
    <row r="1693" spans="1:2" x14ac:dyDescent="0.35">
      <c r="A1693" t="s">
        <v>24</v>
      </c>
      <c r="B1693" s="33">
        <v>3057000000</v>
      </c>
    </row>
    <row r="1694" spans="1:2" x14ac:dyDescent="0.35">
      <c r="A1694" t="s">
        <v>25</v>
      </c>
      <c r="B1694" t="s">
        <v>35</v>
      </c>
    </row>
    <row r="1695" spans="1:2" x14ac:dyDescent="0.35">
      <c r="A1695" t="s">
        <v>26</v>
      </c>
      <c r="B1695" s="33">
        <v>1610000000</v>
      </c>
    </row>
    <row r="1696" spans="1:2" x14ac:dyDescent="0.35">
      <c r="A1696" t="s">
        <v>27</v>
      </c>
      <c r="B1696" s="33">
        <v>3922000000</v>
      </c>
    </row>
    <row r="1697" spans="1:2" x14ac:dyDescent="0.35">
      <c r="A1697" t="s">
        <v>28</v>
      </c>
      <c r="B1697" s="34">
        <v>0.08</v>
      </c>
    </row>
    <row r="1699" spans="1:2" x14ac:dyDescent="0.35">
      <c r="A1699" t="s">
        <v>37</v>
      </c>
    </row>
    <row r="1700" spans="1:2" x14ac:dyDescent="0.35">
      <c r="A1700" t="s">
        <v>23</v>
      </c>
      <c r="B1700" s="33">
        <v>90805000000</v>
      </c>
    </row>
    <row r="1701" spans="1:2" x14ac:dyDescent="0.35">
      <c r="A1701" t="s">
        <v>24</v>
      </c>
      <c r="B1701" s="33">
        <v>60521000000</v>
      </c>
    </row>
    <row r="1702" spans="1:2" x14ac:dyDescent="0.35">
      <c r="A1702" t="s">
        <v>25</v>
      </c>
      <c r="B1702" s="33">
        <v>2163000000</v>
      </c>
    </row>
    <row r="1703" spans="1:2" x14ac:dyDescent="0.35">
      <c r="A1703" t="s">
        <v>26</v>
      </c>
      <c r="B1703" s="33">
        <v>42779000000</v>
      </c>
    </row>
    <row r="1704" spans="1:2" x14ac:dyDescent="0.35">
      <c r="A1704" t="s">
        <v>27</v>
      </c>
      <c r="B1704" s="33">
        <v>54724000000</v>
      </c>
    </row>
    <row r="1705" spans="1:2" x14ac:dyDescent="0.35">
      <c r="A1705" t="s">
        <v>28</v>
      </c>
      <c r="B1705" s="34">
        <v>0.67</v>
      </c>
    </row>
    <row r="1707" spans="1:2" x14ac:dyDescent="0.35">
      <c r="A1707" t="s">
        <v>38</v>
      </c>
    </row>
    <row r="1708" spans="1:2" x14ac:dyDescent="0.35">
      <c r="A1708" t="s">
        <v>23</v>
      </c>
      <c r="B1708" s="33">
        <v>19322000000</v>
      </c>
    </row>
    <row r="1709" spans="1:2" x14ac:dyDescent="0.35">
      <c r="A1709" t="s">
        <v>24</v>
      </c>
      <c r="B1709" s="33">
        <v>19790000000</v>
      </c>
    </row>
    <row r="1710" spans="1:2" x14ac:dyDescent="0.35">
      <c r="A1710" t="s">
        <v>25</v>
      </c>
      <c r="B1710" s="33">
        <v>16088000000</v>
      </c>
    </row>
    <row r="1711" spans="1:2" x14ac:dyDescent="0.35">
      <c r="A1711" t="s">
        <v>26</v>
      </c>
      <c r="B1711" s="33">
        <v>3698000000</v>
      </c>
    </row>
    <row r="1712" spans="1:2" x14ac:dyDescent="0.35">
      <c r="A1712" t="s">
        <v>27</v>
      </c>
      <c r="B1712" t="s">
        <v>35</v>
      </c>
    </row>
    <row r="1713" spans="1:2" x14ac:dyDescent="0.35">
      <c r="A1713" t="s">
        <v>28</v>
      </c>
      <c r="B1713" s="34">
        <v>1.02</v>
      </c>
    </row>
    <row r="1715" spans="1:2" x14ac:dyDescent="0.35">
      <c r="A1715" t="s">
        <v>39</v>
      </c>
    </row>
    <row r="1716" spans="1:2" x14ac:dyDescent="0.35">
      <c r="A1716" t="s">
        <v>23</v>
      </c>
      <c r="B1716" s="33">
        <v>265595000000</v>
      </c>
    </row>
    <row r="1717" spans="1:2" x14ac:dyDescent="0.35">
      <c r="A1717" t="s">
        <v>24</v>
      </c>
      <c r="B1717" s="33">
        <v>146860000000</v>
      </c>
    </row>
    <row r="1718" spans="1:2" x14ac:dyDescent="0.35">
      <c r="A1718" t="s">
        <v>25</v>
      </c>
      <c r="B1718" s="33">
        <v>20553000000</v>
      </c>
    </row>
    <row r="1719" spans="1:2" x14ac:dyDescent="0.35">
      <c r="A1719" t="s">
        <v>26</v>
      </c>
      <c r="B1719" s="33">
        <v>81754000000</v>
      </c>
    </row>
    <row r="1720" spans="1:2" x14ac:dyDescent="0.35">
      <c r="A1720" t="s">
        <v>27</v>
      </c>
      <c r="B1720" s="33">
        <v>113258000000</v>
      </c>
    </row>
    <row r="1721" spans="1:2" x14ac:dyDescent="0.35">
      <c r="A1721" t="s">
        <v>28</v>
      </c>
      <c r="B1721" s="34">
        <v>0.55000000000000004</v>
      </c>
    </row>
    <row r="1723" spans="1:2" x14ac:dyDescent="0.35">
      <c r="A1723" t="s">
        <v>43</v>
      </c>
    </row>
    <row r="1724" spans="1:2" x14ac:dyDescent="0.35">
      <c r="A1724" t="s">
        <v>23</v>
      </c>
      <c r="B1724" s="33">
        <v>36148000000</v>
      </c>
    </row>
    <row r="1725" spans="1:2" x14ac:dyDescent="0.35">
      <c r="A1725" t="s">
        <v>24</v>
      </c>
      <c r="B1725" s="33">
        <v>193893000000</v>
      </c>
    </row>
    <row r="1726" spans="1:2" x14ac:dyDescent="0.35">
      <c r="A1726" t="s">
        <v>25</v>
      </c>
      <c r="B1726" t="s">
        <v>35</v>
      </c>
    </row>
    <row r="1727" spans="1:2" x14ac:dyDescent="0.35">
      <c r="A1727" t="s">
        <v>26</v>
      </c>
      <c r="B1727" s="33">
        <v>136162000000</v>
      </c>
    </row>
    <row r="1728" spans="1:2" x14ac:dyDescent="0.35">
      <c r="A1728" t="s">
        <v>27</v>
      </c>
      <c r="B1728" s="33">
        <v>154562000000</v>
      </c>
    </row>
    <row r="1729" spans="1:2" x14ac:dyDescent="0.35">
      <c r="A1729" t="s">
        <v>28</v>
      </c>
      <c r="B1729" s="34">
        <v>5.36</v>
      </c>
    </row>
    <row r="1731" spans="1:2" x14ac:dyDescent="0.35">
      <c r="A1731" t="s">
        <v>44</v>
      </c>
    </row>
    <row r="1732" spans="1:2" x14ac:dyDescent="0.35">
      <c r="A1732" t="s">
        <v>23</v>
      </c>
      <c r="B1732" s="33">
        <v>343011000000</v>
      </c>
    </row>
    <row r="1733" spans="1:2" x14ac:dyDescent="0.35">
      <c r="A1733" t="s">
        <v>24</v>
      </c>
      <c r="B1733" t="s">
        <v>35</v>
      </c>
    </row>
    <row r="1734" spans="1:2" x14ac:dyDescent="0.35">
      <c r="A1734" t="s">
        <v>25</v>
      </c>
      <c r="B1734" s="33">
        <v>71516000000</v>
      </c>
    </row>
    <row r="1735" spans="1:2" x14ac:dyDescent="0.35">
      <c r="A1735" t="s">
        <v>26</v>
      </c>
      <c r="B1735" s="33">
        <v>18352000000</v>
      </c>
    </row>
    <row r="1736" spans="1:2" x14ac:dyDescent="0.35">
      <c r="A1736" t="s">
        <v>27</v>
      </c>
      <c r="B1736" t="s">
        <v>35</v>
      </c>
    </row>
    <row r="1737" spans="1:2" x14ac:dyDescent="0.35">
      <c r="A1737" t="s">
        <v>28</v>
      </c>
      <c r="B1737" t="s">
        <v>35</v>
      </c>
    </row>
    <row r="1739" spans="1:2" x14ac:dyDescent="0.35">
      <c r="A1739" t="s">
        <v>45</v>
      </c>
    </row>
    <row r="1740" spans="1:2" x14ac:dyDescent="0.35">
      <c r="A1740" t="s">
        <v>23</v>
      </c>
      <c r="B1740" s="33">
        <v>18881000000</v>
      </c>
    </row>
    <row r="1741" spans="1:2" x14ac:dyDescent="0.35">
      <c r="A1741" t="s">
        <v>24</v>
      </c>
      <c r="B1741" t="s">
        <v>35</v>
      </c>
    </row>
    <row r="1742" spans="1:2" x14ac:dyDescent="0.35">
      <c r="A1742" t="s">
        <v>25</v>
      </c>
      <c r="B1742" s="33">
        <v>1663000000</v>
      </c>
    </row>
    <row r="1743" spans="1:2" x14ac:dyDescent="0.35">
      <c r="A1743" t="s">
        <v>26</v>
      </c>
      <c r="B1743" s="33">
        <v>3317000000</v>
      </c>
    </row>
    <row r="1744" spans="1:2" x14ac:dyDescent="0.35">
      <c r="A1744" t="s">
        <v>27</v>
      </c>
      <c r="B1744" s="33">
        <v>2330000000</v>
      </c>
    </row>
    <row r="1745" spans="1:2" x14ac:dyDescent="0.35">
      <c r="A1745" t="s">
        <v>28</v>
      </c>
      <c r="B1745" t="s">
        <v>35</v>
      </c>
    </row>
    <row r="1747" spans="1:2" x14ac:dyDescent="0.35">
      <c r="A1747" t="s">
        <v>46</v>
      </c>
    </row>
    <row r="1748" spans="1:2" x14ac:dyDescent="0.35">
      <c r="A1748" t="s">
        <v>23</v>
      </c>
      <c r="B1748" s="33">
        <v>23664000000</v>
      </c>
    </row>
    <row r="1749" spans="1:2" x14ac:dyDescent="0.35">
      <c r="A1749" t="s">
        <v>24</v>
      </c>
      <c r="B1749" s="33">
        <v>14787000000</v>
      </c>
    </row>
    <row r="1750" spans="1:2" x14ac:dyDescent="0.35">
      <c r="A1750" t="s">
        <v>25</v>
      </c>
      <c r="B1750" s="33">
        <v>6704000000</v>
      </c>
    </row>
    <row r="1751" spans="1:2" x14ac:dyDescent="0.35">
      <c r="A1751" t="s">
        <v>26</v>
      </c>
      <c r="B1751" s="33">
        <v>-1391000000</v>
      </c>
    </row>
    <row r="1752" spans="1:2" x14ac:dyDescent="0.35">
      <c r="A1752" t="s">
        <v>27</v>
      </c>
      <c r="B1752" s="33">
        <v>10778000000</v>
      </c>
    </row>
    <row r="1753" spans="1:2" x14ac:dyDescent="0.35">
      <c r="A1753" t="s">
        <v>28</v>
      </c>
      <c r="B1753" s="34">
        <v>0.62</v>
      </c>
    </row>
    <row r="1755" spans="1:2" x14ac:dyDescent="0.35">
      <c r="A1755" t="s">
        <v>47</v>
      </c>
    </row>
    <row r="1756" spans="1:2" x14ac:dyDescent="0.35">
      <c r="A1756" t="s">
        <v>23</v>
      </c>
      <c r="B1756" s="33">
        <v>30818000000</v>
      </c>
    </row>
    <row r="1757" spans="1:2" x14ac:dyDescent="0.35">
      <c r="A1757" t="s">
        <v>24</v>
      </c>
      <c r="B1757" s="33">
        <v>2786000000</v>
      </c>
    </row>
    <row r="1758" spans="1:2" x14ac:dyDescent="0.35">
      <c r="A1758" t="s">
        <v>25</v>
      </c>
      <c r="B1758" s="33">
        <v>3287000000</v>
      </c>
    </row>
    <row r="1759" spans="1:2" x14ac:dyDescent="0.35">
      <c r="A1759" t="s">
        <v>26</v>
      </c>
      <c r="B1759" s="33">
        <v>4411000000</v>
      </c>
    </row>
    <row r="1760" spans="1:2" x14ac:dyDescent="0.35">
      <c r="A1760" t="s">
        <v>27</v>
      </c>
      <c r="B1760" t="s">
        <v>35</v>
      </c>
    </row>
    <row r="1761" spans="1:2" x14ac:dyDescent="0.35">
      <c r="A1761" t="s">
        <v>28</v>
      </c>
      <c r="B1761" s="34">
        <v>0.09</v>
      </c>
    </row>
    <row r="1763" spans="1:2" x14ac:dyDescent="0.35">
      <c r="A1763" t="s">
        <v>48</v>
      </c>
    </row>
    <row r="1764" spans="1:2" x14ac:dyDescent="0.35">
      <c r="A1764" t="s">
        <v>23</v>
      </c>
      <c r="B1764" s="33">
        <v>31519000000</v>
      </c>
    </row>
    <row r="1765" spans="1:2" x14ac:dyDescent="0.35">
      <c r="A1765" t="s">
        <v>24</v>
      </c>
      <c r="B1765" s="33">
        <v>18008000000</v>
      </c>
    </row>
    <row r="1766" spans="1:2" x14ac:dyDescent="0.35">
      <c r="A1766" t="s">
        <v>25</v>
      </c>
      <c r="B1766" s="33">
        <v>9913000000</v>
      </c>
    </row>
    <row r="1767" spans="1:2" x14ac:dyDescent="0.35">
      <c r="A1767" t="s">
        <v>26</v>
      </c>
      <c r="B1767" s="33">
        <v>6071000000</v>
      </c>
    </row>
    <row r="1768" spans="1:2" x14ac:dyDescent="0.35">
      <c r="A1768" t="s">
        <v>27</v>
      </c>
      <c r="B1768" s="33">
        <v>7163000000</v>
      </c>
    </row>
    <row r="1769" spans="1:2" x14ac:dyDescent="0.35">
      <c r="A1769" t="s">
        <v>28</v>
      </c>
      <c r="B1769" s="34">
        <v>0.56999999999999995</v>
      </c>
    </row>
    <row r="1771" spans="1:2" x14ac:dyDescent="0.35">
      <c r="A1771" t="s">
        <v>49</v>
      </c>
    </row>
    <row r="1772" spans="1:2" x14ac:dyDescent="0.35">
      <c r="A1772" t="s">
        <v>23</v>
      </c>
      <c r="B1772" s="33">
        <v>12298000000</v>
      </c>
    </row>
    <row r="1773" spans="1:2" x14ac:dyDescent="0.35">
      <c r="A1773" t="s">
        <v>24</v>
      </c>
      <c r="B1773" t="s">
        <v>35</v>
      </c>
    </row>
    <row r="1774" spans="1:2" x14ac:dyDescent="0.35">
      <c r="A1774" t="s">
        <v>25</v>
      </c>
      <c r="B1774" s="33">
        <v>2212000000</v>
      </c>
    </row>
    <row r="1775" spans="1:2" x14ac:dyDescent="0.35">
      <c r="A1775" t="s">
        <v>26</v>
      </c>
      <c r="B1775" s="33">
        <v>-1033000000</v>
      </c>
    </row>
    <row r="1776" spans="1:2" x14ac:dyDescent="0.35">
      <c r="A1776" t="s">
        <v>27</v>
      </c>
      <c r="B1776" s="33">
        <v>4221000000</v>
      </c>
    </row>
    <row r="1777" spans="1:2" x14ac:dyDescent="0.35">
      <c r="A1777" t="s">
        <v>28</v>
      </c>
      <c r="B1777" t="s">
        <v>35</v>
      </c>
    </row>
    <row r="1779" spans="1:2" x14ac:dyDescent="0.35">
      <c r="A1779" t="s">
        <v>50</v>
      </c>
    </row>
    <row r="1780" spans="1:2" x14ac:dyDescent="0.35">
      <c r="A1780" t="s">
        <v>23</v>
      </c>
      <c r="B1780" s="33">
        <v>91141000000</v>
      </c>
    </row>
    <row r="1781" spans="1:2" x14ac:dyDescent="0.35">
      <c r="A1781" t="s">
        <v>24</v>
      </c>
      <c r="B1781" s="33">
        <v>-3135000000</v>
      </c>
    </row>
    <row r="1782" spans="1:2" x14ac:dyDescent="0.35">
      <c r="A1782" t="s">
        <v>25</v>
      </c>
      <c r="B1782" s="33">
        <v>8554000000</v>
      </c>
    </row>
    <row r="1783" spans="1:2" x14ac:dyDescent="0.35">
      <c r="A1783" t="s">
        <v>26</v>
      </c>
      <c r="B1783" s="33">
        <v>12969000000</v>
      </c>
    </row>
    <row r="1784" spans="1:2" x14ac:dyDescent="0.35">
      <c r="A1784" t="s">
        <v>27</v>
      </c>
      <c r="B1784" s="33">
        <v>12546000000</v>
      </c>
    </row>
    <row r="1785" spans="1:2" x14ac:dyDescent="0.35">
      <c r="A1785" t="s">
        <v>28</v>
      </c>
      <c r="B1785" s="34">
        <v>-0.03</v>
      </c>
    </row>
    <row r="1787" spans="1:2" x14ac:dyDescent="0.35">
      <c r="A1787" t="s">
        <v>51</v>
      </c>
    </row>
    <row r="1788" spans="1:2" x14ac:dyDescent="0.35">
      <c r="A1788" t="s">
        <v>23</v>
      </c>
      <c r="B1788" s="33">
        <v>3913000000</v>
      </c>
    </row>
    <row r="1789" spans="1:2" x14ac:dyDescent="0.35">
      <c r="A1789" t="s">
        <v>24</v>
      </c>
      <c r="B1789" s="33">
        <v>6795000000</v>
      </c>
    </row>
    <row r="1790" spans="1:2" x14ac:dyDescent="0.35">
      <c r="A1790" t="s">
        <v>25</v>
      </c>
      <c r="B1790" s="33">
        <v>1877000000</v>
      </c>
    </row>
    <row r="1791" spans="1:2" x14ac:dyDescent="0.35">
      <c r="A1791" t="s">
        <v>26</v>
      </c>
      <c r="B1791" s="33">
        <v>2950000000</v>
      </c>
    </row>
    <row r="1792" spans="1:2" x14ac:dyDescent="0.35">
      <c r="A1792" t="s">
        <v>27</v>
      </c>
      <c r="B1792" s="33">
        <v>2517000000</v>
      </c>
    </row>
    <row r="1793" spans="1:2" x14ac:dyDescent="0.35">
      <c r="A1793" t="s">
        <v>28</v>
      </c>
      <c r="B1793" s="34">
        <v>1.74</v>
      </c>
    </row>
    <row r="1795" spans="1:2" x14ac:dyDescent="0.35">
      <c r="A1795" t="s">
        <v>40</v>
      </c>
    </row>
    <row r="1796" spans="1:2" x14ac:dyDescent="0.35">
      <c r="A1796" t="s">
        <v>23</v>
      </c>
      <c r="B1796" s="33">
        <v>61473000000</v>
      </c>
    </row>
    <row r="1797" spans="1:2" x14ac:dyDescent="0.35">
      <c r="A1797" t="s">
        <v>24</v>
      </c>
      <c r="B1797" t="s">
        <v>35</v>
      </c>
    </row>
    <row r="1798" spans="1:2" x14ac:dyDescent="0.35">
      <c r="A1798" t="s">
        <v>25</v>
      </c>
      <c r="B1798" s="33">
        <v>14090000000</v>
      </c>
    </row>
    <row r="1799" spans="1:2" x14ac:dyDescent="0.35">
      <c r="A1799" t="s">
        <v>26</v>
      </c>
      <c r="B1799" s="33">
        <v>18812000000</v>
      </c>
    </row>
    <row r="1800" spans="1:2" x14ac:dyDescent="0.35">
      <c r="A1800" t="s">
        <v>27</v>
      </c>
      <c r="B1800" s="33">
        <v>39519000000</v>
      </c>
    </row>
    <row r="1801" spans="1:2" x14ac:dyDescent="0.35">
      <c r="A1801" t="s">
        <v>28</v>
      </c>
      <c r="B1801" t="s">
        <v>35</v>
      </c>
    </row>
    <row r="1803" spans="1:2" x14ac:dyDescent="0.35">
      <c r="A1803" t="s">
        <v>36</v>
      </c>
    </row>
    <row r="1804" spans="1:2" x14ac:dyDescent="0.35">
      <c r="A1804" t="s">
        <v>23</v>
      </c>
      <c r="B1804" s="33">
        <v>52871000000</v>
      </c>
    </row>
    <row r="1805" spans="1:2" x14ac:dyDescent="0.35">
      <c r="A1805" t="s">
        <v>24</v>
      </c>
      <c r="B1805" s="33">
        <v>28584000000</v>
      </c>
    </row>
    <row r="1806" spans="1:2" x14ac:dyDescent="0.35">
      <c r="A1806" t="s">
        <v>25</v>
      </c>
      <c r="B1806" s="33">
        <v>15294000000</v>
      </c>
    </row>
    <row r="1807" spans="1:2" x14ac:dyDescent="0.35">
      <c r="A1807" t="s">
        <v>26</v>
      </c>
      <c r="B1807" s="33">
        <v>8968000000</v>
      </c>
    </row>
    <row r="1808" spans="1:2" x14ac:dyDescent="0.35">
      <c r="A1808" t="s">
        <v>27</v>
      </c>
      <c r="B1808" s="33">
        <v>12912000000</v>
      </c>
    </row>
    <row r="1809" spans="1:2" x14ac:dyDescent="0.35">
      <c r="A1809" t="s">
        <v>28</v>
      </c>
      <c r="B1809" s="34">
        <v>0.54</v>
      </c>
    </row>
    <row r="1811" spans="1:2" x14ac:dyDescent="0.35">
      <c r="A1811" t="s">
        <v>41</v>
      </c>
    </row>
    <row r="1812" spans="1:2" x14ac:dyDescent="0.35">
      <c r="A1812" t="s">
        <v>23</v>
      </c>
      <c r="B1812" s="33">
        <v>41831000000</v>
      </c>
    </row>
    <row r="1813" spans="1:2" x14ac:dyDescent="0.35">
      <c r="A1813" t="s">
        <v>24</v>
      </c>
      <c r="B1813" s="33">
        <v>7031000000</v>
      </c>
    </row>
    <row r="1814" spans="1:2" x14ac:dyDescent="0.35">
      <c r="A1814" t="s">
        <v>25</v>
      </c>
      <c r="B1814" s="33">
        <v>2617000000</v>
      </c>
    </row>
    <row r="1815" spans="1:2" x14ac:dyDescent="0.35">
      <c r="A1815" t="s">
        <v>26</v>
      </c>
      <c r="B1815" s="33">
        <v>4696000000</v>
      </c>
    </row>
    <row r="1816" spans="1:2" x14ac:dyDescent="0.35">
      <c r="A1816" t="s">
        <v>27</v>
      </c>
      <c r="B1816" s="33">
        <v>4622000000</v>
      </c>
    </row>
    <row r="1817" spans="1:2" x14ac:dyDescent="0.35">
      <c r="A1817" t="s">
        <v>28</v>
      </c>
      <c r="B1817" s="34">
        <v>0.17</v>
      </c>
    </row>
    <row r="1819" spans="1:2" x14ac:dyDescent="0.35">
      <c r="A1819" t="s">
        <v>42</v>
      </c>
    </row>
    <row r="1820" spans="1:2" x14ac:dyDescent="0.35">
      <c r="A1820" t="s">
        <v>23</v>
      </c>
      <c r="B1820" s="33">
        <v>36118000000</v>
      </c>
    </row>
    <row r="1821" spans="1:2" x14ac:dyDescent="0.35">
      <c r="A1821" t="s">
        <v>24</v>
      </c>
      <c r="B1821" s="33">
        <v>3057000000</v>
      </c>
    </row>
    <row r="1822" spans="1:2" x14ac:dyDescent="0.35">
      <c r="A1822" t="s">
        <v>25</v>
      </c>
      <c r="B1822" t="s">
        <v>35</v>
      </c>
    </row>
    <row r="1823" spans="1:2" x14ac:dyDescent="0.35">
      <c r="A1823" t="s">
        <v>26</v>
      </c>
      <c r="B1823" s="33">
        <v>1610000000</v>
      </c>
    </row>
    <row r="1824" spans="1:2" x14ac:dyDescent="0.35">
      <c r="A1824" t="s">
        <v>27</v>
      </c>
      <c r="B1824" s="33">
        <v>3922000000</v>
      </c>
    </row>
    <row r="1825" spans="1:2" x14ac:dyDescent="0.35">
      <c r="A1825" t="s">
        <v>28</v>
      </c>
      <c r="B1825" s="34">
        <v>0.08</v>
      </c>
    </row>
    <row r="1827" spans="1:2" x14ac:dyDescent="0.35">
      <c r="A1827" t="s">
        <v>37</v>
      </c>
    </row>
    <row r="1828" spans="1:2" x14ac:dyDescent="0.35">
      <c r="A1828" t="s">
        <v>23</v>
      </c>
      <c r="B1828" s="33">
        <v>90805000000</v>
      </c>
    </row>
    <row r="1829" spans="1:2" x14ac:dyDescent="0.35">
      <c r="A1829" t="s">
        <v>24</v>
      </c>
      <c r="B1829" s="33">
        <v>60521000000</v>
      </c>
    </row>
    <row r="1830" spans="1:2" x14ac:dyDescent="0.35">
      <c r="A1830" t="s">
        <v>25</v>
      </c>
      <c r="B1830" s="33">
        <v>2163000000</v>
      </c>
    </row>
    <row r="1831" spans="1:2" x14ac:dyDescent="0.35">
      <c r="A1831" t="s">
        <v>26</v>
      </c>
      <c r="B1831" s="33">
        <v>42779000000</v>
      </c>
    </row>
    <row r="1832" spans="1:2" x14ac:dyDescent="0.35">
      <c r="A1832" t="s">
        <v>27</v>
      </c>
      <c r="B1832" s="33">
        <v>54724000000</v>
      </c>
    </row>
    <row r="1833" spans="1:2" x14ac:dyDescent="0.35">
      <c r="A1833" t="s">
        <v>28</v>
      </c>
      <c r="B1833" s="34">
        <v>0.67</v>
      </c>
    </row>
    <row r="1835" spans="1:2" x14ac:dyDescent="0.35">
      <c r="A1835" t="s">
        <v>38</v>
      </c>
    </row>
    <row r="1836" spans="1:2" x14ac:dyDescent="0.35">
      <c r="A1836" t="s">
        <v>23</v>
      </c>
      <c r="B1836" s="33">
        <v>19322000000</v>
      </c>
    </row>
    <row r="1837" spans="1:2" x14ac:dyDescent="0.35">
      <c r="A1837" t="s">
        <v>24</v>
      </c>
      <c r="B1837" s="33">
        <v>19790000000</v>
      </c>
    </row>
    <row r="1838" spans="1:2" x14ac:dyDescent="0.35">
      <c r="A1838" t="s">
        <v>25</v>
      </c>
      <c r="B1838" s="33">
        <v>16088000000</v>
      </c>
    </row>
    <row r="1839" spans="1:2" x14ac:dyDescent="0.35">
      <c r="A1839" t="s">
        <v>26</v>
      </c>
      <c r="B1839" s="33">
        <v>3698000000</v>
      </c>
    </row>
    <row r="1840" spans="1:2" x14ac:dyDescent="0.35">
      <c r="A1840" t="s">
        <v>27</v>
      </c>
      <c r="B1840" t="s">
        <v>35</v>
      </c>
    </row>
    <row r="1841" spans="1:2" x14ac:dyDescent="0.35">
      <c r="A1841" t="s">
        <v>28</v>
      </c>
      <c r="B1841" s="34">
        <v>1.02</v>
      </c>
    </row>
    <row r="1843" spans="1:2" x14ac:dyDescent="0.35">
      <c r="A1843" t="s">
        <v>39</v>
      </c>
    </row>
    <row r="1844" spans="1:2" x14ac:dyDescent="0.35">
      <c r="A1844" t="s">
        <v>23</v>
      </c>
      <c r="B1844" s="33">
        <v>265595000000</v>
      </c>
    </row>
    <row r="1845" spans="1:2" x14ac:dyDescent="0.35">
      <c r="A1845" t="s">
        <v>24</v>
      </c>
      <c r="B1845" s="33">
        <v>146860000000</v>
      </c>
    </row>
    <row r="1846" spans="1:2" x14ac:dyDescent="0.35">
      <c r="A1846" t="s">
        <v>25</v>
      </c>
      <c r="B1846" s="33">
        <v>20553000000</v>
      </c>
    </row>
    <row r="1847" spans="1:2" x14ac:dyDescent="0.35">
      <c r="A1847" t="s">
        <v>26</v>
      </c>
      <c r="B1847" s="33">
        <v>81754000000</v>
      </c>
    </row>
    <row r="1848" spans="1:2" x14ac:dyDescent="0.35">
      <c r="A1848" t="s">
        <v>27</v>
      </c>
      <c r="B1848" s="33">
        <v>113258000000</v>
      </c>
    </row>
    <row r="1849" spans="1:2" x14ac:dyDescent="0.35">
      <c r="A1849" t="s">
        <v>28</v>
      </c>
      <c r="B1849" s="34">
        <v>0.55000000000000004</v>
      </c>
    </row>
    <row r="1851" spans="1:2" x14ac:dyDescent="0.35">
      <c r="A1851" t="s">
        <v>43</v>
      </c>
    </row>
    <row r="1852" spans="1:2" x14ac:dyDescent="0.35">
      <c r="A1852" t="s">
        <v>23</v>
      </c>
      <c r="B1852" s="33">
        <v>36148000000</v>
      </c>
    </row>
    <row r="1853" spans="1:2" x14ac:dyDescent="0.35">
      <c r="A1853" t="s">
        <v>24</v>
      </c>
      <c r="B1853" s="33">
        <v>193893000000</v>
      </c>
    </row>
    <row r="1854" spans="1:2" x14ac:dyDescent="0.35">
      <c r="A1854" t="s">
        <v>25</v>
      </c>
      <c r="B1854" t="s">
        <v>35</v>
      </c>
    </row>
    <row r="1855" spans="1:2" x14ac:dyDescent="0.35">
      <c r="A1855" t="s">
        <v>26</v>
      </c>
      <c r="B1855" s="33">
        <v>136162000000</v>
      </c>
    </row>
    <row r="1856" spans="1:2" x14ac:dyDescent="0.35">
      <c r="A1856" t="s">
        <v>27</v>
      </c>
      <c r="B1856" s="33">
        <v>154562000000</v>
      </c>
    </row>
    <row r="1857" spans="1:2" x14ac:dyDescent="0.35">
      <c r="A1857" t="s">
        <v>28</v>
      </c>
      <c r="B1857" s="34">
        <v>5.36</v>
      </c>
    </row>
    <row r="1859" spans="1:2" x14ac:dyDescent="0.35">
      <c r="A1859" t="s">
        <v>44</v>
      </c>
    </row>
    <row r="1860" spans="1:2" x14ac:dyDescent="0.35">
      <c r="A1860" t="s">
        <v>23</v>
      </c>
      <c r="B1860" s="33">
        <v>343011000000</v>
      </c>
    </row>
    <row r="1861" spans="1:2" x14ac:dyDescent="0.35">
      <c r="A1861" t="s">
        <v>24</v>
      </c>
      <c r="B1861" t="s">
        <v>35</v>
      </c>
    </row>
    <row r="1862" spans="1:2" x14ac:dyDescent="0.35">
      <c r="A1862" t="s">
        <v>25</v>
      </c>
      <c r="B1862" s="33">
        <v>71516000000</v>
      </c>
    </row>
    <row r="1863" spans="1:2" x14ac:dyDescent="0.35">
      <c r="A1863" t="s">
        <v>26</v>
      </c>
      <c r="B1863" s="33">
        <v>18352000000</v>
      </c>
    </row>
    <row r="1864" spans="1:2" x14ac:dyDescent="0.35">
      <c r="A1864" t="s">
        <v>27</v>
      </c>
      <c r="B1864" t="s">
        <v>35</v>
      </c>
    </row>
    <row r="1865" spans="1:2" x14ac:dyDescent="0.35">
      <c r="A1865" t="s">
        <v>28</v>
      </c>
      <c r="B1865" t="s">
        <v>35</v>
      </c>
    </row>
    <row r="1867" spans="1:2" x14ac:dyDescent="0.35">
      <c r="A1867" t="s">
        <v>45</v>
      </c>
    </row>
    <row r="1868" spans="1:2" x14ac:dyDescent="0.35">
      <c r="A1868" t="s">
        <v>23</v>
      </c>
      <c r="B1868" s="33">
        <v>18881000000</v>
      </c>
    </row>
    <row r="1869" spans="1:2" x14ac:dyDescent="0.35">
      <c r="A1869" t="s">
        <v>24</v>
      </c>
      <c r="B1869" t="s">
        <v>35</v>
      </c>
    </row>
    <row r="1870" spans="1:2" x14ac:dyDescent="0.35">
      <c r="A1870" t="s">
        <v>25</v>
      </c>
      <c r="B1870" s="33">
        <v>1663000000</v>
      </c>
    </row>
    <row r="1871" spans="1:2" x14ac:dyDescent="0.35">
      <c r="A1871" t="s">
        <v>26</v>
      </c>
      <c r="B1871" s="33">
        <v>3317000000</v>
      </c>
    </row>
    <row r="1872" spans="1:2" x14ac:dyDescent="0.35">
      <c r="A1872" t="s">
        <v>27</v>
      </c>
      <c r="B1872" s="33">
        <v>2330000000</v>
      </c>
    </row>
    <row r="1873" spans="1:2" x14ac:dyDescent="0.35">
      <c r="A1873" t="s">
        <v>28</v>
      </c>
      <c r="B1873" t="s">
        <v>35</v>
      </c>
    </row>
    <row r="1875" spans="1:2" x14ac:dyDescent="0.35">
      <c r="A1875" t="s">
        <v>46</v>
      </c>
    </row>
    <row r="1876" spans="1:2" x14ac:dyDescent="0.35">
      <c r="A1876" t="s">
        <v>23</v>
      </c>
      <c r="B1876" s="33">
        <v>23664000000</v>
      </c>
    </row>
    <row r="1877" spans="1:2" x14ac:dyDescent="0.35">
      <c r="A1877" t="s">
        <v>24</v>
      </c>
      <c r="B1877" s="33">
        <v>14787000000</v>
      </c>
    </row>
    <row r="1878" spans="1:2" x14ac:dyDescent="0.35">
      <c r="A1878" t="s">
        <v>25</v>
      </c>
      <c r="B1878" s="33">
        <v>6704000000</v>
      </c>
    </row>
    <row r="1879" spans="1:2" x14ac:dyDescent="0.35">
      <c r="A1879" t="s">
        <v>26</v>
      </c>
      <c r="B1879" s="33">
        <v>-1391000000</v>
      </c>
    </row>
    <row r="1880" spans="1:2" x14ac:dyDescent="0.35">
      <c r="A1880" t="s">
        <v>27</v>
      </c>
      <c r="B1880" s="33">
        <v>10778000000</v>
      </c>
    </row>
    <row r="1881" spans="1:2" x14ac:dyDescent="0.35">
      <c r="A1881" t="s">
        <v>28</v>
      </c>
      <c r="B1881" s="34">
        <v>0.62</v>
      </c>
    </row>
    <row r="1883" spans="1:2" x14ac:dyDescent="0.35">
      <c r="A1883" t="s">
        <v>47</v>
      </c>
    </row>
    <row r="1884" spans="1:2" x14ac:dyDescent="0.35">
      <c r="A1884" t="s">
        <v>23</v>
      </c>
      <c r="B1884" s="33">
        <v>30818000000</v>
      </c>
    </row>
    <row r="1885" spans="1:2" x14ac:dyDescent="0.35">
      <c r="A1885" t="s">
        <v>24</v>
      </c>
      <c r="B1885" s="33">
        <v>2786000000</v>
      </c>
    </row>
    <row r="1886" spans="1:2" x14ac:dyDescent="0.35">
      <c r="A1886" t="s">
        <v>25</v>
      </c>
      <c r="B1886" s="33">
        <v>3287000000</v>
      </c>
    </row>
    <row r="1887" spans="1:2" x14ac:dyDescent="0.35">
      <c r="A1887" t="s">
        <v>26</v>
      </c>
      <c r="B1887" s="33">
        <v>4411000000</v>
      </c>
    </row>
    <row r="1888" spans="1:2" x14ac:dyDescent="0.35">
      <c r="A1888" t="s">
        <v>27</v>
      </c>
      <c r="B1888" t="s">
        <v>35</v>
      </c>
    </row>
    <row r="1889" spans="1:2" x14ac:dyDescent="0.35">
      <c r="A1889" t="s">
        <v>28</v>
      </c>
      <c r="B1889" s="34">
        <v>0.09</v>
      </c>
    </row>
    <row r="1891" spans="1:2" x14ac:dyDescent="0.35">
      <c r="A1891" t="s">
        <v>48</v>
      </c>
    </row>
    <row r="1892" spans="1:2" x14ac:dyDescent="0.35">
      <c r="A1892" t="s">
        <v>23</v>
      </c>
      <c r="B1892" s="33">
        <v>31519000000</v>
      </c>
    </row>
    <row r="1893" spans="1:2" x14ac:dyDescent="0.35">
      <c r="A1893" t="s">
        <v>24</v>
      </c>
      <c r="B1893" s="33">
        <v>18008000000</v>
      </c>
    </row>
    <row r="1894" spans="1:2" x14ac:dyDescent="0.35">
      <c r="A1894" t="s">
        <v>25</v>
      </c>
      <c r="B1894" s="33">
        <v>9913000000</v>
      </c>
    </row>
    <row r="1895" spans="1:2" x14ac:dyDescent="0.35">
      <c r="A1895" t="s">
        <v>26</v>
      </c>
      <c r="B1895" s="33">
        <v>6071000000</v>
      </c>
    </row>
    <row r="1896" spans="1:2" x14ac:dyDescent="0.35">
      <c r="A1896" t="s">
        <v>27</v>
      </c>
      <c r="B1896" s="33">
        <v>7163000000</v>
      </c>
    </row>
    <row r="1897" spans="1:2" x14ac:dyDescent="0.35">
      <c r="A1897" t="s">
        <v>28</v>
      </c>
      <c r="B1897" s="34">
        <v>0.56999999999999995</v>
      </c>
    </row>
    <row r="1899" spans="1:2" x14ac:dyDescent="0.35">
      <c r="A1899" t="s">
        <v>49</v>
      </c>
    </row>
    <row r="1900" spans="1:2" x14ac:dyDescent="0.35">
      <c r="A1900" t="s">
        <v>23</v>
      </c>
      <c r="B1900" s="33">
        <v>12298000000</v>
      </c>
    </row>
    <row r="1901" spans="1:2" x14ac:dyDescent="0.35">
      <c r="A1901" t="s">
        <v>24</v>
      </c>
      <c r="B1901" t="s">
        <v>35</v>
      </c>
    </row>
    <row r="1902" spans="1:2" x14ac:dyDescent="0.35">
      <c r="A1902" t="s">
        <v>25</v>
      </c>
      <c r="B1902" s="33">
        <v>2212000000</v>
      </c>
    </row>
    <row r="1903" spans="1:2" x14ac:dyDescent="0.35">
      <c r="A1903" t="s">
        <v>26</v>
      </c>
      <c r="B1903" s="33">
        <v>-1033000000</v>
      </c>
    </row>
    <row r="1904" spans="1:2" x14ac:dyDescent="0.35">
      <c r="A1904" t="s">
        <v>27</v>
      </c>
      <c r="B1904" s="33">
        <v>4221000000</v>
      </c>
    </row>
    <row r="1905" spans="1:2" x14ac:dyDescent="0.35">
      <c r="A1905" t="s">
        <v>28</v>
      </c>
      <c r="B1905" t="s">
        <v>35</v>
      </c>
    </row>
    <row r="1907" spans="1:2" x14ac:dyDescent="0.35">
      <c r="A1907" t="s">
        <v>50</v>
      </c>
    </row>
    <row r="1908" spans="1:2" x14ac:dyDescent="0.35">
      <c r="A1908" t="s">
        <v>23</v>
      </c>
      <c r="B1908" s="33">
        <v>91141000000</v>
      </c>
    </row>
    <row r="1909" spans="1:2" x14ac:dyDescent="0.35">
      <c r="A1909" t="s">
        <v>24</v>
      </c>
      <c r="B1909" s="33">
        <v>-3135000000</v>
      </c>
    </row>
    <row r="1910" spans="1:2" x14ac:dyDescent="0.35">
      <c r="A1910" t="s">
        <v>25</v>
      </c>
      <c r="B1910" s="33">
        <v>8554000000</v>
      </c>
    </row>
    <row r="1911" spans="1:2" x14ac:dyDescent="0.35">
      <c r="A1911" t="s">
        <v>26</v>
      </c>
      <c r="B1911" s="33">
        <v>12969000000</v>
      </c>
    </row>
    <row r="1912" spans="1:2" x14ac:dyDescent="0.35">
      <c r="A1912" t="s">
        <v>27</v>
      </c>
      <c r="B1912" s="33">
        <v>12546000000</v>
      </c>
    </row>
    <row r="1913" spans="1:2" x14ac:dyDescent="0.35">
      <c r="A1913" t="s">
        <v>28</v>
      </c>
      <c r="B1913" s="34">
        <v>-0.03</v>
      </c>
    </row>
    <row r="1915" spans="1:2" x14ac:dyDescent="0.35">
      <c r="A1915" t="s">
        <v>51</v>
      </c>
    </row>
    <row r="1916" spans="1:2" x14ac:dyDescent="0.35">
      <c r="A1916" t="s">
        <v>23</v>
      </c>
      <c r="B1916" s="33">
        <v>3913000000</v>
      </c>
    </row>
    <row r="1917" spans="1:2" x14ac:dyDescent="0.35">
      <c r="A1917" t="s">
        <v>24</v>
      </c>
      <c r="B1917" s="33">
        <v>6795000000</v>
      </c>
    </row>
    <row r="1918" spans="1:2" x14ac:dyDescent="0.35">
      <c r="A1918" t="s">
        <v>25</v>
      </c>
      <c r="B1918" s="33">
        <v>1877000000</v>
      </c>
    </row>
    <row r="1919" spans="1:2" x14ac:dyDescent="0.35">
      <c r="A1919" t="s">
        <v>26</v>
      </c>
      <c r="B1919" s="33">
        <v>2950000000</v>
      </c>
    </row>
    <row r="1920" spans="1:2" x14ac:dyDescent="0.35">
      <c r="A1920" t="s">
        <v>27</v>
      </c>
      <c r="B1920" s="33">
        <v>2517000000</v>
      </c>
    </row>
    <row r="1921" spans="1:2" x14ac:dyDescent="0.35">
      <c r="A1921" t="s">
        <v>28</v>
      </c>
      <c r="B1921" s="34">
        <v>1.74</v>
      </c>
    </row>
    <row r="1923" spans="1:2" x14ac:dyDescent="0.35">
      <c r="A1923" t="s">
        <v>40</v>
      </c>
    </row>
    <row r="1924" spans="1:2" x14ac:dyDescent="0.35">
      <c r="A1924" t="s">
        <v>23</v>
      </c>
      <c r="B1924" s="33">
        <v>61473000000</v>
      </c>
    </row>
    <row r="1925" spans="1:2" x14ac:dyDescent="0.35">
      <c r="A1925" t="s">
        <v>24</v>
      </c>
      <c r="B1925" t="s">
        <v>35</v>
      </c>
    </row>
    <row r="1926" spans="1:2" x14ac:dyDescent="0.35">
      <c r="A1926" t="s">
        <v>25</v>
      </c>
      <c r="B1926" s="33">
        <v>14090000000</v>
      </c>
    </row>
    <row r="1927" spans="1:2" x14ac:dyDescent="0.35">
      <c r="A1927" t="s">
        <v>26</v>
      </c>
      <c r="B1927" s="33">
        <v>18812000000</v>
      </c>
    </row>
    <row r="1928" spans="1:2" x14ac:dyDescent="0.35">
      <c r="A1928" t="s">
        <v>27</v>
      </c>
      <c r="B1928" s="33">
        <v>39519000000</v>
      </c>
    </row>
    <row r="1929" spans="1:2" x14ac:dyDescent="0.35">
      <c r="A1929" t="s">
        <v>28</v>
      </c>
      <c r="B1929" t="s">
        <v>35</v>
      </c>
    </row>
    <row r="1931" spans="1:2" x14ac:dyDescent="0.35">
      <c r="A1931" t="s">
        <v>36</v>
      </c>
    </row>
    <row r="1932" spans="1:2" x14ac:dyDescent="0.35">
      <c r="A1932" t="s">
        <v>23</v>
      </c>
      <c r="B1932" s="33">
        <v>52871000000</v>
      </c>
    </row>
    <row r="1933" spans="1:2" x14ac:dyDescent="0.35">
      <c r="A1933" t="s">
        <v>24</v>
      </c>
      <c r="B1933" s="33">
        <v>28584000000</v>
      </c>
    </row>
    <row r="1934" spans="1:2" x14ac:dyDescent="0.35">
      <c r="A1934" t="s">
        <v>25</v>
      </c>
      <c r="B1934" s="33">
        <v>15294000000</v>
      </c>
    </row>
    <row r="1935" spans="1:2" x14ac:dyDescent="0.35">
      <c r="A1935" t="s">
        <v>26</v>
      </c>
      <c r="B1935" s="33">
        <v>8968000000</v>
      </c>
    </row>
    <row r="1936" spans="1:2" x14ac:dyDescent="0.35">
      <c r="A1936" t="s">
        <v>27</v>
      </c>
      <c r="B1936" s="33">
        <v>12912000000</v>
      </c>
    </row>
    <row r="1937" spans="1:2" x14ac:dyDescent="0.35">
      <c r="A1937" t="s">
        <v>28</v>
      </c>
      <c r="B1937" s="34">
        <v>0.54</v>
      </c>
    </row>
    <row r="1939" spans="1:2" x14ac:dyDescent="0.35">
      <c r="A1939" t="s">
        <v>41</v>
      </c>
    </row>
    <row r="1940" spans="1:2" x14ac:dyDescent="0.35">
      <c r="A1940" t="s">
        <v>23</v>
      </c>
      <c r="B1940" s="33">
        <v>41831000000</v>
      </c>
    </row>
    <row r="1941" spans="1:2" x14ac:dyDescent="0.35">
      <c r="A1941" t="s">
        <v>24</v>
      </c>
      <c r="B1941" s="33">
        <v>7031000000</v>
      </c>
    </row>
    <row r="1942" spans="1:2" x14ac:dyDescent="0.35">
      <c r="A1942" t="s">
        <v>25</v>
      </c>
      <c r="B1942" s="33">
        <v>2617000000</v>
      </c>
    </row>
    <row r="1943" spans="1:2" x14ac:dyDescent="0.35">
      <c r="A1943" t="s">
        <v>26</v>
      </c>
      <c r="B1943" s="33">
        <v>4696000000</v>
      </c>
    </row>
    <row r="1944" spans="1:2" x14ac:dyDescent="0.35">
      <c r="A1944" t="s">
        <v>27</v>
      </c>
      <c r="B1944" s="33">
        <v>4622000000</v>
      </c>
    </row>
    <row r="1945" spans="1:2" x14ac:dyDescent="0.35">
      <c r="A1945" t="s">
        <v>28</v>
      </c>
      <c r="B1945" s="34">
        <v>0.17</v>
      </c>
    </row>
    <row r="1947" spans="1:2" x14ac:dyDescent="0.35">
      <c r="A1947" t="s">
        <v>42</v>
      </c>
    </row>
    <row r="1948" spans="1:2" x14ac:dyDescent="0.35">
      <c r="A1948" t="s">
        <v>23</v>
      </c>
      <c r="B1948" s="33">
        <v>36118000000</v>
      </c>
    </row>
    <row r="1949" spans="1:2" x14ac:dyDescent="0.35">
      <c r="A1949" t="s">
        <v>24</v>
      </c>
      <c r="B1949" s="33">
        <v>3057000000</v>
      </c>
    </row>
    <row r="1950" spans="1:2" x14ac:dyDescent="0.35">
      <c r="A1950" t="s">
        <v>25</v>
      </c>
      <c r="B1950" t="s">
        <v>35</v>
      </c>
    </row>
    <row r="1951" spans="1:2" x14ac:dyDescent="0.35">
      <c r="A1951" t="s">
        <v>26</v>
      </c>
      <c r="B1951" s="33">
        <v>1610000000</v>
      </c>
    </row>
    <row r="1952" spans="1:2" x14ac:dyDescent="0.35">
      <c r="A1952" t="s">
        <v>27</v>
      </c>
      <c r="B1952" s="33">
        <v>3922000000</v>
      </c>
    </row>
    <row r="1953" spans="1:2" x14ac:dyDescent="0.35">
      <c r="A1953" t="s">
        <v>28</v>
      </c>
      <c r="B1953" s="34">
        <v>0.08</v>
      </c>
    </row>
    <row r="1955" spans="1:2" x14ac:dyDescent="0.35">
      <c r="A1955" t="s">
        <v>37</v>
      </c>
    </row>
    <row r="1956" spans="1:2" x14ac:dyDescent="0.35">
      <c r="A1956" t="s">
        <v>23</v>
      </c>
      <c r="B1956" s="33">
        <v>90805000000</v>
      </c>
    </row>
    <row r="1957" spans="1:2" x14ac:dyDescent="0.35">
      <c r="A1957" t="s">
        <v>24</v>
      </c>
      <c r="B1957" s="33">
        <v>60521000000</v>
      </c>
    </row>
    <row r="1958" spans="1:2" x14ac:dyDescent="0.35">
      <c r="A1958" t="s">
        <v>25</v>
      </c>
      <c r="B1958" s="33">
        <v>2163000000</v>
      </c>
    </row>
    <row r="1959" spans="1:2" x14ac:dyDescent="0.35">
      <c r="A1959" t="s">
        <v>26</v>
      </c>
      <c r="B1959" s="33">
        <v>42779000000</v>
      </c>
    </row>
    <row r="1960" spans="1:2" x14ac:dyDescent="0.35">
      <c r="A1960" t="s">
        <v>27</v>
      </c>
      <c r="B1960" s="33">
        <v>54724000000</v>
      </c>
    </row>
    <row r="1961" spans="1:2" x14ac:dyDescent="0.35">
      <c r="A1961" t="s">
        <v>28</v>
      </c>
      <c r="B1961" s="34">
        <v>0.67</v>
      </c>
    </row>
    <row r="1963" spans="1:2" x14ac:dyDescent="0.35">
      <c r="A1963" t="s">
        <v>38</v>
      </c>
    </row>
    <row r="1964" spans="1:2" x14ac:dyDescent="0.35">
      <c r="A1964" t="s">
        <v>23</v>
      </c>
      <c r="B1964" s="33">
        <v>19322000000</v>
      </c>
    </row>
    <row r="1965" spans="1:2" x14ac:dyDescent="0.35">
      <c r="A1965" t="s">
        <v>24</v>
      </c>
      <c r="B1965" s="33">
        <v>19790000000</v>
      </c>
    </row>
    <row r="1966" spans="1:2" x14ac:dyDescent="0.35">
      <c r="A1966" t="s">
        <v>25</v>
      </c>
      <c r="B1966" s="33">
        <v>16088000000</v>
      </c>
    </row>
    <row r="1967" spans="1:2" x14ac:dyDescent="0.35">
      <c r="A1967" t="s">
        <v>26</v>
      </c>
      <c r="B1967" s="33">
        <v>3698000000</v>
      </c>
    </row>
    <row r="1968" spans="1:2" x14ac:dyDescent="0.35">
      <c r="A1968" t="s">
        <v>27</v>
      </c>
      <c r="B1968" t="s">
        <v>35</v>
      </c>
    </row>
    <row r="1969" spans="1:2" x14ac:dyDescent="0.35">
      <c r="A1969" t="s">
        <v>28</v>
      </c>
      <c r="B1969" s="34">
        <v>1.02</v>
      </c>
    </row>
    <row r="1971" spans="1:2" x14ac:dyDescent="0.35">
      <c r="A1971" t="s">
        <v>39</v>
      </c>
    </row>
    <row r="1972" spans="1:2" x14ac:dyDescent="0.35">
      <c r="A1972" t="s">
        <v>23</v>
      </c>
      <c r="B1972" s="33">
        <v>265595000000</v>
      </c>
    </row>
    <row r="1973" spans="1:2" x14ac:dyDescent="0.35">
      <c r="A1973" t="s">
        <v>24</v>
      </c>
      <c r="B1973" s="33">
        <v>146860000000</v>
      </c>
    </row>
    <row r="1974" spans="1:2" x14ac:dyDescent="0.35">
      <c r="A1974" t="s">
        <v>25</v>
      </c>
      <c r="B1974" s="33">
        <v>20553000000</v>
      </c>
    </row>
    <row r="1975" spans="1:2" x14ac:dyDescent="0.35">
      <c r="A1975" t="s">
        <v>26</v>
      </c>
      <c r="B1975" s="33">
        <v>81754000000</v>
      </c>
    </row>
    <row r="1976" spans="1:2" x14ac:dyDescent="0.35">
      <c r="A1976" t="s">
        <v>27</v>
      </c>
      <c r="B1976" s="33">
        <v>113258000000</v>
      </c>
    </row>
    <row r="1977" spans="1:2" x14ac:dyDescent="0.35">
      <c r="A1977" t="s">
        <v>28</v>
      </c>
      <c r="B1977" s="34">
        <v>0.55000000000000004</v>
      </c>
    </row>
    <row r="1979" spans="1:2" x14ac:dyDescent="0.35">
      <c r="A1979" t="s">
        <v>43</v>
      </c>
    </row>
    <row r="1980" spans="1:2" x14ac:dyDescent="0.35">
      <c r="A1980" t="s">
        <v>23</v>
      </c>
      <c r="B1980" s="33">
        <v>36148000000</v>
      </c>
    </row>
    <row r="1981" spans="1:2" x14ac:dyDescent="0.35">
      <c r="A1981" t="s">
        <v>24</v>
      </c>
      <c r="B1981" s="33">
        <v>193893000000</v>
      </c>
    </row>
    <row r="1982" spans="1:2" x14ac:dyDescent="0.35">
      <c r="A1982" t="s">
        <v>25</v>
      </c>
      <c r="B1982" t="s">
        <v>35</v>
      </c>
    </row>
    <row r="1983" spans="1:2" x14ac:dyDescent="0.35">
      <c r="A1983" t="s">
        <v>26</v>
      </c>
      <c r="B1983" s="33">
        <v>136162000000</v>
      </c>
    </row>
    <row r="1984" spans="1:2" x14ac:dyDescent="0.35">
      <c r="A1984" t="s">
        <v>27</v>
      </c>
      <c r="B1984" s="33">
        <v>154562000000</v>
      </c>
    </row>
    <row r="1985" spans="1:2" x14ac:dyDescent="0.35">
      <c r="A1985" t="s">
        <v>28</v>
      </c>
      <c r="B1985" s="34">
        <v>5.36</v>
      </c>
    </row>
    <row r="1987" spans="1:2" x14ac:dyDescent="0.35">
      <c r="A1987" t="s">
        <v>44</v>
      </c>
    </row>
    <row r="1988" spans="1:2" x14ac:dyDescent="0.35">
      <c r="A1988" t="s">
        <v>23</v>
      </c>
      <c r="B1988" s="33">
        <v>343011000000</v>
      </c>
    </row>
    <row r="1989" spans="1:2" x14ac:dyDescent="0.35">
      <c r="A1989" t="s">
        <v>24</v>
      </c>
      <c r="B1989" t="s">
        <v>35</v>
      </c>
    </row>
    <row r="1990" spans="1:2" x14ac:dyDescent="0.35">
      <c r="A1990" t="s">
        <v>25</v>
      </c>
      <c r="B1990" s="33">
        <v>71516000000</v>
      </c>
    </row>
    <row r="1991" spans="1:2" x14ac:dyDescent="0.35">
      <c r="A1991" t="s">
        <v>26</v>
      </c>
      <c r="B1991" s="33">
        <v>18352000000</v>
      </c>
    </row>
    <row r="1992" spans="1:2" x14ac:dyDescent="0.35">
      <c r="A1992" t="s">
        <v>27</v>
      </c>
      <c r="B1992" t="s">
        <v>35</v>
      </c>
    </row>
    <row r="1993" spans="1:2" x14ac:dyDescent="0.35">
      <c r="A1993" t="s">
        <v>28</v>
      </c>
      <c r="B1993" t="s">
        <v>35</v>
      </c>
    </row>
    <row r="1995" spans="1:2" x14ac:dyDescent="0.35">
      <c r="A1995" t="s">
        <v>45</v>
      </c>
    </row>
    <row r="1996" spans="1:2" x14ac:dyDescent="0.35">
      <c r="A1996" t="s">
        <v>23</v>
      </c>
      <c r="B1996" s="33">
        <v>18881000000</v>
      </c>
    </row>
    <row r="1997" spans="1:2" x14ac:dyDescent="0.35">
      <c r="A1997" t="s">
        <v>24</v>
      </c>
      <c r="B1997" t="s">
        <v>35</v>
      </c>
    </row>
    <row r="1998" spans="1:2" x14ac:dyDescent="0.35">
      <c r="A1998" t="s">
        <v>25</v>
      </c>
      <c r="B1998" s="33">
        <v>1663000000</v>
      </c>
    </row>
    <row r="1999" spans="1:2" x14ac:dyDescent="0.35">
      <c r="A1999" t="s">
        <v>26</v>
      </c>
      <c r="B1999" s="33">
        <v>3317000000</v>
      </c>
    </row>
    <row r="2000" spans="1:2" x14ac:dyDescent="0.35">
      <c r="A2000" t="s">
        <v>27</v>
      </c>
      <c r="B2000" s="33">
        <v>2330000000</v>
      </c>
    </row>
    <row r="2001" spans="1:2" x14ac:dyDescent="0.35">
      <c r="A2001" t="s">
        <v>28</v>
      </c>
      <c r="B2001" t="s">
        <v>35</v>
      </c>
    </row>
    <row r="2003" spans="1:2" x14ac:dyDescent="0.35">
      <c r="A2003" t="s">
        <v>46</v>
      </c>
    </row>
    <row r="2004" spans="1:2" x14ac:dyDescent="0.35">
      <c r="A2004" t="s">
        <v>23</v>
      </c>
      <c r="B2004" s="33">
        <v>23664000000</v>
      </c>
    </row>
    <row r="2005" spans="1:2" x14ac:dyDescent="0.35">
      <c r="A2005" t="s">
        <v>24</v>
      </c>
      <c r="B2005" s="33">
        <v>14787000000</v>
      </c>
    </row>
    <row r="2006" spans="1:2" x14ac:dyDescent="0.35">
      <c r="A2006" t="s">
        <v>25</v>
      </c>
      <c r="B2006" s="33">
        <v>6704000000</v>
      </c>
    </row>
    <row r="2007" spans="1:2" x14ac:dyDescent="0.35">
      <c r="A2007" t="s">
        <v>26</v>
      </c>
      <c r="B2007" s="33">
        <v>-1391000000</v>
      </c>
    </row>
    <row r="2008" spans="1:2" x14ac:dyDescent="0.35">
      <c r="A2008" t="s">
        <v>27</v>
      </c>
      <c r="B2008" s="33">
        <v>10778000000</v>
      </c>
    </row>
    <row r="2009" spans="1:2" x14ac:dyDescent="0.35">
      <c r="A2009" t="s">
        <v>28</v>
      </c>
      <c r="B2009" s="34">
        <v>0.62</v>
      </c>
    </row>
    <row r="2011" spans="1:2" x14ac:dyDescent="0.35">
      <c r="A2011" t="s">
        <v>47</v>
      </c>
    </row>
    <row r="2012" spans="1:2" x14ac:dyDescent="0.35">
      <c r="A2012" t="s">
        <v>23</v>
      </c>
      <c r="B2012" s="33">
        <v>30818000000</v>
      </c>
    </row>
    <row r="2013" spans="1:2" x14ac:dyDescent="0.35">
      <c r="A2013" t="s">
        <v>24</v>
      </c>
      <c r="B2013" s="33">
        <v>2786000000</v>
      </c>
    </row>
    <row r="2014" spans="1:2" x14ac:dyDescent="0.35">
      <c r="A2014" t="s">
        <v>25</v>
      </c>
      <c r="B2014" s="33">
        <v>3287000000</v>
      </c>
    </row>
    <row r="2015" spans="1:2" x14ac:dyDescent="0.35">
      <c r="A2015" t="s">
        <v>26</v>
      </c>
      <c r="B2015" s="33">
        <v>4411000000</v>
      </c>
    </row>
    <row r="2016" spans="1:2" x14ac:dyDescent="0.35">
      <c r="A2016" t="s">
        <v>27</v>
      </c>
      <c r="B2016" t="s">
        <v>35</v>
      </c>
    </row>
    <row r="2017" spans="1:2" x14ac:dyDescent="0.35">
      <c r="A2017" t="s">
        <v>28</v>
      </c>
      <c r="B2017" s="34">
        <v>0.09</v>
      </c>
    </row>
    <row r="2019" spans="1:2" x14ac:dyDescent="0.35">
      <c r="A2019" t="s">
        <v>48</v>
      </c>
    </row>
    <row r="2020" spans="1:2" x14ac:dyDescent="0.35">
      <c r="A2020" t="s">
        <v>23</v>
      </c>
      <c r="B2020" s="33">
        <v>31519000000</v>
      </c>
    </row>
    <row r="2021" spans="1:2" x14ac:dyDescent="0.35">
      <c r="A2021" t="s">
        <v>24</v>
      </c>
      <c r="B2021" s="33">
        <v>18008000000</v>
      </c>
    </row>
    <row r="2022" spans="1:2" x14ac:dyDescent="0.35">
      <c r="A2022" t="s">
        <v>25</v>
      </c>
      <c r="B2022" s="33">
        <v>9913000000</v>
      </c>
    </row>
    <row r="2023" spans="1:2" x14ac:dyDescent="0.35">
      <c r="A2023" t="s">
        <v>26</v>
      </c>
      <c r="B2023" s="33">
        <v>6071000000</v>
      </c>
    </row>
    <row r="2024" spans="1:2" x14ac:dyDescent="0.35">
      <c r="A2024" t="s">
        <v>27</v>
      </c>
      <c r="B2024" s="33">
        <v>7163000000</v>
      </c>
    </row>
    <row r="2025" spans="1:2" x14ac:dyDescent="0.35">
      <c r="A2025" t="s">
        <v>28</v>
      </c>
      <c r="B2025" s="34">
        <v>0.56999999999999995</v>
      </c>
    </row>
    <row r="2027" spans="1:2" x14ac:dyDescent="0.35">
      <c r="A2027" t="s">
        <v>49</v>
      </c>
    </row>
    <row r="2028" spans="1:2" x14ac:dyDescent="0.35">
      <c r="A2028" t="s">
        <v>23</v>
      </c>
      <c r="B2028" s="33">
        <v>12298000000</v>
      </c>
    </row>
    <row r="2029" spans="1:2" x14ac:dyDescent="0.35">
      <c r="A2029" t="s">
        <v>24</v>
      </c>
      <c r="B2029" t="s">
        <v>35</v>
      </c>
    </row>
    <row r="2030" spans="1:2" x14ac:dyDescent="0.35">
      <c r="A2030" t="s">
        <v>25</v>
      </c>
      <c r="B2030" s="33">
        <v>2212000000</v>
      </c>
    </row>
    <row r="2031" spans="1:2" x14ac:dyDescent="0.35">
      <c r="A2031" t="s">
        <v>26</v>
      </c>
      <c r="B2031" s="33">
        <v>-1033000000</v>
      </c>
    </row>
    <row r="2032" spans="1:2" x14ac:dyDescent="0.35">
      <c r="A2032" t="s">
        <v>27</v>
      </c>
      <c r="B2032" s="33">
        <v>4221000000</v>
      </c>
    </row>
    <row r="2033" spans="1:2" x14ac:dyDescent="0.35">
      <c r="A2033" t="s">
        <v>28</v>
      </c>
      <c r="B2033" t="s">
        <v>35</v>
      </c>
    </row>
    <row r="2035" spans="1:2" x14ac:dyDescent="0.35">
      <c r="A2035" t="s">
        <v>50</v>
      </c>
    </row>
    <row r="2036" spans="1:2" x14ac:dyDescent="0.35">
      <c r="A2036" t="s">
        <v>23</v>
      </c>
      <c r="B2036" s="33">
        <v>91141000000</v>
      </c>
    </row>
    <row r="2037" spans="1:2" x14ac:dyDescent="0.35">
      <c r="A2037" t="s">
        <v>24</v>
      </c>
      <c r="B2037" s="33">
        <v>-3135000000</v>
      </c>
    </row>
    <row r="2038" spans="1:2" x14ac:dyDescent="0.35">
      <c r="A2038" t="s">
        <v>25</v>
      </c>
      <c r="B2038" s="33">
        <v>8554000000</v>
      </c>
    </row>
    <row r="2039" spans="1:2" x14ac:dyDescent="0.35">
      <c r="A2039" t="s">
        <v>26</v>
      </c>
      <c r="B2039" s="33">
        <v>12969000000</v>
      </c>
    </row>
    <row r="2040" spans="1:2" x14ac:dyDescent="0.35">
      <c r="A2040" t="s">
        <v>27</v>
      </c>
      <c r="B2040" s="33">
        <v>12546000000</v>
      </c>
    </row>
    <row r="2041" spans="1:2" x14ac:dyDescent="0.35">
      <c r="A2041" t="s">
        <v>28</v>
      </c>
      <c r="B2041" s="34">
        <v>-0.03</v>
      </c>
    </row>
    <row r="2043" spans="1:2" x14ac:dyDescent="0.35">
      <c r="A2043" t="s">
        <v>51</v>
      </c>
    </row>
    <row r="2044" spans="1:2" x14ac:dyDescent="0.35">
      <c r="A2044" t="s">
        <v>23</v>
      </c>
      <c r="B2044" s="33">
        <v>3913000000</v>
      </c>
    </row>
    <row r="2045" spans="1:2" x14ac:dyDescent="0.35">
      <c r="A2045" t="s">
        <v>24</v>
      </c>
      <c r="B2045" s="33">
        <v>6795000000</v>
      </c>
    </row>
    <row r="2046" spans="1:2" x14ac:dyDescent="0.35">
      <c r="A2046" t="s">
        <v>25</v>
      </c>
      <c r="B2046" s="33">
        <v>1877000000</v>
      </c>
    </row>
    <row r="2047" spans="1:2" x14ac:dyDescent="0.35">
      <c r="A2047" t="s">
        <v>26</v>
      </c>
      <c r="B2047" s="33">
        <v>2950000000</v>
      </c>
    </row>
    <row r="2048" spans="1:2" x14ac:dyDescent="0.35">
      <c r="A2048" t="s">
        <v>27</v>
      </c>
      <c r="B2048" s="33">
        <v>2517000000</v>
      </c>
    </row>
    <row r="2049" spans="1:2" x14ac:dyDescent="0.35">
      <c r="A2049" t="s">
        <v>28</v>
      </c>
      <c r="B2049" s="34">
        <v>1.74</v>
      </c>
    </row>
    <row r="2051" spans="1:2" x14ac:dyDescent="0.35">
      <c r="A2051" t="s">
        <v>40</v>
      </c>
    </row>
    <row r="2052" spans="1:2" x14ac:dyDescent="0.35">
      <c r="A2052" t="s">
        <v>23</v>
      </c>
      <c r="B2052" s="33">
        <v>61473000000</v>
      </c>
    </row>
    <row r="2053" spans="1:2" x14ac:dyDescent="0.35">
      <c r="A2053" t="s">
        <v>24</v>
      </c>
      <c r="B2053" t="s">
        <v>35</v>
      </c>
    </row>
    <row r="2054" spans="1:2" x14ac:dyDescent="0.35">
      <c r="A2054" t="s">
        <v>25</v>
      </c>
      <c r="B2054" s="33">
        <v>14090000000</v>
      </c>
    </row>
    <row r="2055" spans="1:2" x14ac:dyDescent="0.35">
      <c r="A2055" t="s">
        <v>26</v>
      </c>
      <c r="B2055" s="33">
        <v>18812000000</v>
      </c>
    </row>
    <row r="2056" spans="1:2" x14ac:dyDescent="0.35">
      <c r="A2056" t="s">
        <v>27</v>
      </c>
      <c r="B2056" s="33">
        <v>39519000000</v>
      </c>
    </row>
    <row r="2057" spans="1:2" x14ac:dyDescent="0.35">
      <c r="A2057" t="s">
        <v>28</v>
      </c>
      <c r="B2057" t="s">
        <v>35</v>
      </c>
    </row>
    <row r="2059" spans="1:2" x14ac:dyDescent="0.35">
      <c r="A2059" t="s">
        <v>36</v>
      </c>
    </row>
    <row r="2060" spans="1:2" x14ac:dyDescent="0.35">
      <c r="A2060" t="s">
        <v>23</v>
      </c>
      <c r="B2060" s="33">
        <v>52871000000</v>
      </c>
    </row>
    <row r="2061" spans="1:2" x14ac:dyDescent="0.35">
      <c r="A2061" t="s">
        <v>24</v>
      </c>
      <c r="B2061" s="33">
        <v>28584000000</v>
      </c>
    </row>
    <row r="2062" spans="1:2" x14ac:dyDescent="0.35">
      <c r="A2062" t="s">
        <v>25</v>
      </c>
      <c r="B2062" s="33">
        <v>15294000000</v>
      </c>
    </row>
    <row r="2063" spans="1:2" x14ac:dyDescent="0.35">
      <c r="A2063" t="s">
        <v>26</v>
      </c>
      <c r="B2063" s="33">
        <v>8968000000</v>
      </c>
    </row>
    <row r="2064" spans="1:2" x14ac:dyDescent="0.35">
      <c r="A2064" t="s">
        <v>27</v>
      </c>
      <c r="B2064" s="33">
        <v>12912000000</v>
      </c>
    </row>
    <row r="2065" spans="1:2" x14ac:dyDescent="0.35">
      <c r="A2065" t="s">
        <v>28</v>
      </c>
      <c r="B2065" s="34">
        <v>0.54</v>
      </c>
    </row>
    <row r="2067" spans="1:2" x14ac:dyDescent="0.35">
      <c r="A2067" t="s">
        <v>41</v>
      </c>
    </row>
    <row r="2068" spans="1:2" x14ac:dyDescent="0.35">
      <c r="A2068" t="s">
        <v>23</v>
      </c>
      <c r="B2068" s="33">
        <v>41831000000</v>
      </c>
    </row>
    <row r="2069" spans="1:2" x14ac:dyDescent="0.35">
      <c r="A2069" t="s">
        <v>24</v>
      </c>
      <c r="B2069" s="33">
        <v>7031000000</v>
      </c>
    </row>
    <row r="2070" spans="1:2" x14ac:dyDescent="0.35">
      <c r="A2070" t="s">
        <v>25</v>
      </c>
      <c r="B2070" s="33">
        <v>2617000000</v>
      </c>
    </row>
    <row r="2071" spans="1:2" x14ac:dyDescent="0.35">
      <c r="A2071" t="s">
        <v>26</v>
      </c>
      <c r="B2071" s="33">
        <v>4696000000</v>
      </c>
    </row>
    <row r="2072" spans="1:2" x14ac:dyDescent="0.35">
      <c r="A2072" t="s">
        <v>27</v>
      </c>
      <c r="B2072" s="33">
        <v>4622000000</v>
      </c>
    </row>
    <row r="2073" spans="1:2" x14ac:dyDescent="0.35">
      <c r="A2073" t="s">
        <v>28</v>
      </c>
      <c r="B2073" s="34">
        <v>0.17</v>
      </c>
    </row>
    <row r="2075" spans="1:2" x14ac:dyDescent="0.35">
      <c r="A2075" t="s">
        <v>42</v>
      </c>
    </row>
    <row r="2076" spans="1:2" x14ac:dyDescent="0.35">
      <c r="A2076" t="s">
        <v>23</v>
      </c>
      <c r="B2076" s="33">
        <v>36118000000</v>
      </c>
    </row>
    <row r="2077" spans="1:2" x14ac:dyDescent="0.35">
      <c r="A2077" t="s">
        <v>24</v>
      </c>
      <c r="B2077" s="33">
        <v>3057000000</v>
      </c>
    </row>
    <row r="2078" spans="1:2" x14ac:dyDescent="0.35">
      <c r="A2078" t="s">
        <v>25</v>
      </c>
      <c r="B2078" t="s">
        <v>35</v>
      </c>
    </row>
    <row r="2079" spans="1:2" x14ac:dyDescent="0.35">
      <c r="A2079" t="s">
        <v>26</v>
      </c>
      <c r="B2079" s="33">
        <v>1610000000</v>
      </c>
    </row>
    <row r="2080" spans="1:2" x14ac:dyDescent="0.35">
      <c r="A2080" t="s">
        <v>27</v>
      </c>
      <c r="B2080" s="33">
        <v>3922000000</v>
      </c>
    </row>
    <row r="2081" spans="1:2" x14ac:dyDescent="0.35">
      <c r="A2081" t="s">
        <v>28</v>
      </c>
      <c r="B2081" s="34">
        <v>0.08</v>
      </c>
    </row>
    <row r="2083" spans="1:2" x14ac:dyDescent="0.35">
      <c r="A2083" t="s">
        <v>37</v>
      </c>
    </row>
    <row r="2084" spans="1:2" x14ac:dyDescent="0.35">
      <c r="A2084" t="s">
        <v>23</v>
      </c>
      <c r="B2084" s="33">
        <v>90805000000</v>
      </c>
    </row>
    <row r="2085" spans="1:2" x14ac:dyDescent="0.35">
      <c r="A2085" t="s">
        <v>24</v>
      </c>
      <c r="B2085" s="33">
        <v>60521000000</v>
      </c>
    </row>
    <row r="2086" spans="1:2" x14ac:dyDescent="0.35">
      <c r="A2086" t="s">
        <v>25</v>
      </c>
      <c r="B2086" s="33">
        <v>2163000000</v>
      </c>
    </row>
    <row r="2087" spans="1:2" x14ac:dyDescent="0.35">
      <c r="A2087" t="s">
        <v>26</v>
      </c>
      <c r="B2087" s="33">
        <v>42779000000</v>
      </c>
    </row>
    <row r="2088" spans="1:2" x14ac:dyDescent="0.35">
      <c r="A2088" t="s">
        <v>27</v>
      </c>
      <c r="B2088" s="33">
        <v>54724000000</v>
      </c>
    </row>
    <row r="2089" spans="1:2" x14ac:dyDescent="0.35">
      <c r="A2089" t="s">
        <v>28</v>
      </c>
      <c r="B2089" s="34">
        <v>0.67</v>
      </c>
    </row>
    <row r="2091" spans="1:2" x14ac:dyDescent="0.35">
      <c r="A2091" t="s">
        <v>38</v>
      </c>
    </row>
    <row r="2092" spans="1:2" x14ac:dyDescent="0.35">
      <c r="A2092" t="s">
        <v>23</v>
      </c>
      <c r="B2092" s="33">
        <v>19322000000</v>
      </c>
    </row>
    <row r="2093" spans="1:2" x14ac:dyDescent="0.35">
      <c r="A2093" t="s">
        <v>24</v>
      </c>
      <c r="B2093" s="33">
        <v>19790000000</v>
      </c>
    </row>
    <row r="2094" spans="1:2" x14ac:dyDescent="0.35">
      <c r="A2094" t="s">
        <v>25</v>
      </c>
      <c r="B2094" s="33">
        <v>16088000000</v>
      </c>
    </row>
    <row r="2095" spans="1:2" x14ac:dyDescent="0.35">
      <c r="A2095" t="s">
        <v>26</v>
      </c>
      <c r="B2095" s="33">
        <v>3698000000</v>
      </c>
    </row>
    <row r="2096" spans="1:2" x14ac:dyDescent="0.35">
      <c r="A2096" t="s">
        <v>27</v>
      </c>
      <c r="B2096" t="s">
        <v>35</v>
      </c>
    </row>
    <row r="2097" spans="1:2" x14ac:dyDescent="0.35">
      <c r="A2097" t="s">
        <v>28</v>
      </c>
      <c r="B2097" s="34">
        <v>1.02</v>
      </c>
    </row>
    <row r="2099" spans="1:2" x14ac:dyDescent="0.35">
      <c r="A2099" t="s">
        <v>39</v>
      </c>
    </row>
    <row r="2100" spans="1:2" x14ac:dyDescent="0.35">
      <c r="A2100" t="s">
        <v>23</v>
      </c>
      <c r="B2100" s="33">
        <v>265595000000</v>
      </c>
    </row>
    <row r="2101" spans="1:2" x14ac:dyDescent="0.35">
      <c r="A2101" t="s">
        <v>24</v>
      </c>
      <c r="B2101" s="33">
        <v>146860000000</v>
      </c>
    </row>
    <row r="2102" spans="1:2" x14ac:dyDescent="0.35">
      <c r="A2102" t="s">
        <v>25</v>
      </c>
      <c r="B2102" s="33">
        <v>20553000000</v>
      </c>
    </row>
    <row r="2103" spans="1:2" x14ac:dyDescent="0.35">
      <c r="A2103" t="s">
        <v>26</v>
      </c>
      <c r="B2103" s="33">
        <v>81754000000</v>
      </c>
    </row>
    <row r="2104" spans="1:2" x14ac:dyDescent="0.35">
      <c r="A2104" t="s">
        <v>27</v>
      </c>
      <c r="B2104" s="33">
        <v>113258000000</v>
      </c>
    </row>
    <row r="2105" spans="1:2" x14ac:dyDescent="0.35">
      <c r="A2105" t="s">
        <v>28</v>
      </c>
      <c r="B2105" s="34">
        <v>0.55000000000000004</v>
      </c>
    </row>
    <row r="2107" spans="1:2" x14ac:dyDescent="0.35">
      <c r="A2107" t="s">
        <v>43</v>
      </c>
    </row>
    <row r="2108" spans="1:2" x14ac:dyDescent="0.35">
      <c r="A2108" t="s">
        <v>23</v>
      </c>
      <c r="B2108" s="33">
        <v>36148000000</v>
      </c>
    </row>
    <row r="2109" spans="1:2" x14ac:dyDescent="0.35">
      <c r="A2109" t="s">
        <v>24</v>
      </c>
      <c r="B2109" s="33">
        <v>193893000000</v>
      </c>
    </row>
    <row r="2110" spans="1:2" x14ac:dyDescent="0.35">
      <c r="A2110" t="s">
        <v>25</v>
      </c>
      <c r="B2110" t="s">
        <v>35</v>
      </c>
    </row>
    <row r="2111" spans="1:2" x14ac:dyDescent="0.35">
      <c r="A2111" t="s">
        <v>26</v>
      </c>
      <c r="B2111" s="33">
        <v>136162000000</v>
      </c>
    </row>
    <row r="2112" spans="1:2" x14ac:dyDescent="0.35">
      <c r="A2112" t="s">
        <v>27</v>
      </c>
      <c r="B2112" s="33">
        <v>154562000000</v>
      </c>
    </row>
    <row r="2113" spans="1:2" x14ac:dyDescent="0.35">
      <c r="A2113" t="s">
        <v>28</v>
      </c>
      <c r="B2113" s="34">
        <v>5.36</v>
      </c>
    </row>
    <row r="2115" spans="1:2" x14ac:dyDescent="0.35">
      <c r="A2115" t="s">
        <v>44</v>
      </c>
    </row>
    <row r="2116" spans="1:2" x14ac:dyDescent="0.35">
      <c r="A2116" t="s">
        <v>23</v>
      </c>
      <c r="B2116" s="33">
        <v>343011000000</v>
      </c>
    </row>
    <row r="2117" spans="1:2" x14ac:dyDescent="0.35">
      <c r="A2117" t="s">
        <v>24</v>
      </c>
      <c r="B2117" t="s">
        <v>35</v>
      </c>
    </row>
    <row r="2118" spans="1:2" x14ac:dyDescent="0.35">
      <c r="A2118" t="s">
        <v>25</v>
      </c>
      <c r="B2118" s="33">
        <v>71516000000</v>
      </c>
    </row>
    <row r="2119" spans="1:2" x14ac:dyDescent="0.35">
      <c r="A2119" t="s">
        <v>26</v>
      </c>
      <c r="B2119" s="33">
        <v>18352000000</v>
      </c>
    </row>
    <row r="2120" spans="1:2" x14ac:dyDescent="0.35">
      <c r="A2120" t="s">
        <v>27</v>
      </c>
      <c r="B2120" t="s">
        <v>35</v>
      </c>
    </row>
    <row r="2121" spans="1:2" x14ac:dyDescent="0.35">
      <c r="A2121" t="s">
        <v>28</v>
      </c>
      <c r="B2121" t="s">
        <v>35</v>
      </c>
    </row>
    <row r="2123" spans="1:2" x14ac:dyDescent="0.35">
      <c r="A2123" t="s">
        <v>45</v>
      </c>
    </row>
    <row r="2124" spans="1:2" x14ac:dyDescent="0.35">
      <c r="A2124" t="s">
        <v>23</v>
      </c>
      <c r="B2124" s="33">
        <v>18881000000</v>
      </c>
    </row>
    <row r="2125" spans="1:2" x14ac:dyDescent="0.35">
      <c r="A2125" t="s">
        <v>24</v>
      </c>
      <c r="B2125" t="s">
        <v>35</v>
      </c>
    </row>
    <row r="2126" spans="1:2" x14ac:dyDescent="0.35">
      <c r="A2126" t="s">
        <v>25</v>
      </c>
      <c r="B2126" s="33">
        <v>1663000000</v>
      </c>
    </row>
    <row r="2127" spans="1:2" x14ac:dyDescent="0.35">
      <c r="A2127" t="s">
        <v>26</v>
      </c>
      <c r="B2127" s="33">
        <v>3317000000</v>
      </c>
    </row>
    <row r="2128" spans="1:2" x14ac:dyDescent="0.35">
      <c r="A2128" t="s">
        <v>27</v>
      </c>
      <c r="B2128" s="33">
        <v>2330000000</v>
      </c>
    </row>
    <row r="2129" spans="1:2" x14ac:dyDescent="0.35">
      <c r="A2129" t="s">
        <v>28</v>
      </c>
      <c r="B2129" t="s">
        <v>35</v>
      </c>
    </row>
    <row r="2131" spans="1:2" x14ac:dyDescent="0.35">
      <c r="A2131" t="s">
        <v>46</v>
      </c>
    </row>
    <row r="2132" spans="1:2" x14ac:dyDescent="0.35">
      <c r="A2132" t="s">
        <v>23</v>
      </c>
      <c r="B2132" s="33">
        <v>23664000000</v>
      </c>
    </row>
    <row r="2133" spans="1:2" x14ac:dyDescent="0.35">
      <c r="A2133" t="s">
        <v>24</v>
      </c>
      <c r="B2133" s="33">
        <v>14787000000</v>
      </c>
    </row>
    <row r="2134" spans="1:2" x14ac:dyDescent="0.35">
      <c r="A2134" t="s">
        <v>25</v>
      </c>
      <c r="B2134" s="33">
        <v>6704000000</v>
      </c>
    </row>
    <row r="2135" spans="1:2" x14ac:dyDescent="0.35">
      <c r="A2135" t="s">
        <v>26</v>
      </c>
      <c r="B2135" s="33">
        <v>-1391000000</v>
      </c>
    </row>
    <row r="2136" spans="1:2" x14ac:dyDescent="0.35">
      <c r="A2136" t="s">
        <v>27</v>
      </c>
      <c r="B2136" s="33">
        <v>10778000000</v>
      </c>
    </row>
    <row r="2137" spans="1:2" x14ac:dyDescent="0.35">
      <c r="A2137" t="s">
        <v>28</v>
      </c>
      <c r="B2137" s="34">
        <v>0.62</v>
      </c>
    </row>
    <row r="2139" spans="1:2" x14ac:dyDescent="0.35">
      <c r="A2139" t="s">
        <v>47</v>
      </c>
    </row>
    <row r="2140" spans="1:2" x14ac:dyDescent="0.35">
      <c r="A2140" t="s">
        <v>23</v>
      </c>
      <c r="B2140" s="33">
        <v>30818000000</v>
      </c>
    </row>
    <row r="2141" spans="1:2" x14ac:dyDescent="0.35">
      <c r="A2141" t="s">
        <v>24</v>
      </c>
      <c r="B2141" s="33">
        <v>2786000000</v>
      </c>
    </row>
    <row r="2142" spans="1:2" x14ac:dyDescent="0.35">
      <c r="A2142" t="s">
        <v>25</v>
      </c>
      <c r="B2142" s="33">
        <v>3287000000</v>
      </c>
    </row>
    <row r="2143" spans="1:2" x14ac:dyDescent="0.35">
      <c r="A2143" t="s">
        <v>26</v>
      </c>
      <c r="B2143" s="33">
        <v>4411000000</v>
      </c>
    </row>
    <row r="2144" spans="1:2" x14ac:dyDescent="0.35">
      <c r="A2144" t="s">
        <v>27</v>
      </c>
      <c r="B2144" t="s">
        <v>35</v>
      </c>
    </row>
    <row r="2145" spans="1:2" x14ac:dyDescent="0.35">
      <c r="A2145" t="s">
        <v>28</v>
      </c>
      <c r="B2145" s="34">
        <v>0.09</v>
      </c>
    </row>
    <row r="2147" spans="1:2" x14ac:dyDescent="0.35">
      <c r="A2147" t="s">
        <v>48</v>
      </c>
    </row>
    <row r="2148" spans="1:2" x14ac:dyDescent="0.35">
      <c r="A2148" t="s">
        <v>23</v>
      </c>
      <c r="B2148" s="33">
        <v>31519000000</v>
      </c>
    </row>
    <row r="2149" spans="1:2" x14ac:dyDescent="0.35">
      <c r="A2149" t="s">
        <v>24</v>
      </c>
      <c r="B2149" s="33">
        <v>18008000000</v>
      </c>
    </row>
    <row r="2150" spans="1:2" x14ac:dyDescent="0.35">
      <c r="A2150" t="s">
        <v>25</v>
      </c>
      <c r="B2150" s="33">
        <v>9913000000</v>
      </c>
    </row>
    <row r="2151" spans="1:2" x14ac:dyDescent="0.35">
      <c r="A2151" t="s">
        <v>26</v>
      </c>
      <c r="B2151" s="33">
        <v>6071000000</v>
      </c>
    </row>
    <row r="2152" spans="1:2" x14ac:dyDescent="0.35">
      <c r="A2152" t="s">
        <v>27</v>
      </c>
      <c r="B2152" s="33">
        <v>7163000000</v>
      </c>
    </row>
    <row r="2153" spans="1:2" x14ac:dyDescent="0.35">
      <c r="A2153" t="s">
        <v>28</v>
      </c>
      <c r="B2153" s="34">
        <v>0.56999999999999995</v>
      </c>
    </row>
    <row r="2155" spans="1:2" x14ac:dyDescent="0.35">
      <c r="A2155" t="s">
        <v>49</v>
      </c>
    </row>
    <row r="2156" spans="1:2" x14ac:dyDescent="0.35">
      <c r="A2156" t="s">
        <v>23</v>
      </c>
      <c r="B2156" s="33">
        <v>12298000000</v>
      </c>
    </row>
    <row r="2157" spans="1:2" x14ac:dyDescent="0.35">
      <c r="A2157" t="s">
        <v>24</v>
      </c>
      <c r="B2157" t="s">
        <v>35</v>
      </c>
    </row>
    <row r="2158" spans="1:2" x14ac:dyDescent="0.35">
      <c r="A2158" t="s">
        <v>25</v>
      </c>
      <c r="B2158" s="33">
        <v>2212000000</v>
      </c>
    </row>
    <row r="2159" spans="1:2" x14ac:dyDescent="0.35">
      <c r="A2159" t="s">
        <v>26</v>
      </c>
      <c r="B2159" s="33">
        <v>-1033000000</v>
      </c>
    </row>
    <row r="2160" spans="1:2" x14ac:dyDescent="0.35">
      <c r="A2160" t="s">
        <v>27</v>
      </c>
      <c r="B2160" s="33">
        <v>4221000000</v>
      </c>
    </row>
    <row r="2161" spans="1:2" x14ac:dyDescent="0.35">
      <c r="A2161" t="s">
        <v>28</v>
      </c>
      <c r="B2161" t="s">
        <v>35</v>
      </c>
    </row>
    <row r="2163" spans="1:2" x14ac:dyDescent="0.35">
      <c r="A2163" t="s">
        <v>50</v>
      </c>
    </row>
    <row r="2164" spans="1:2" x14ac:dyDescent="0.35">
      <c r="A2164" t="s">
        <v>23</v>
      </c>
      <c r="B2164" s="33">
        <v>91141000000</v>
      </c>
    </row>
    <row r="2165" spans="1:2" x14ac:dyDescent="0.35">
      <c r="A2165" t="s">
        <v>24</v>
      </c>
      <c r="B2165" s="33">
        <v>-3135000000</v>
      </c>
    </row>
    <row r="2166" spans="1:2" x14ac:dyDescent="0.35">
      <c r="A2166" t="s">
        <v>25</v>
      </c>
      <c r="B2166" s="33">
        <v>8554000000</v>
      </c>
    </row>
    <row r="2167" spans="1:2" x14ac:dyDescent="0.35">
      <c r="A2167" t="s">
        <v>26</v>
      </c>
      <c r="B2167" s="33">
        <v>12969000000</v>
      </c>
    </row>
    <row r="2168" spans="1:2" x14ac:dyDescent="0.35">
      <c r="A2168" t="s">
        <v>27</v>
      </c>
      <c r="B2168" s="33">
        <v>12546000000</v>
      </c>
    </row>
    <row r="2169" spans="1:2" x14ac:dyDescent="0.35">
      <c r="A2169" t="s">
        <v>28</v>
      </c>
      <c r="B2169" s="34">
        <v>-0.03</v>
      </c>
    </row>
    <row r="2171" spans="1:2" x14ac:dyDescent="0.35">
      <c r="A2171" t="s">
        <v>51</v>
      </c>
    </row>
    <row r="2172" spans="1:2" x14ac:dyDescent="0.35">
      <c r="A2172" t="s">
        <v>23</v>
      </c>
      <c r="B2172" s="33">
        <v>3913000000</v>
      </c>
    </row>
    <row r="2173" spans="1:2" x14ac:dyDescent="0.35">
      <c r="A2173" t="s">
        <v>24</v>
      </c>
      <c r="B2173" s="33">
        <v>6795000000</v>
      </c>
    </row>
    <row r="2174" spans="1:2" x14ac:dyDescent="0.35">
      <c r="A2174" t="s">
        <v>25</v>
      </c>
      <c r="B2174" s="33">
        <v>1877000000</v>
      </c>
    </row>
    <row r="2175" spans="1:2" x14ac:dyDescent="0.35">
      <c r="A2175" t="s">
        <v>26</v>
      </c>
      <c r="B2175" s="33">
        <v>2950000000</v>
      </c>
    </row>
    <row r="2176" spans="1:2" x14ac:dyDescent="0.35">
      <c r="A2176" t="s">
        <v>27</v>
      </c>
      <c r="B2176" s="33">
        <v>2517000000</v>
      </c>
    </row>
    <row r="2177" spans="1:2" x14ac:dyDescent="0.35">
      <c r="A2177" t="s">
        <v>28</v>
      </c>
      <c r="B2177" s="34">
        <v>1.74</v>
      </c>
    </row>
    <row r="2179" spans="1:2" x14ac:dyDescent="0.35">
      <c r="A2179" t="s">
        <v>40</v>
      </c>
    </row>
    <row r="2180" spans="1:2" x14ac:dyDescent="0.35">
      <c r="A2180" t="s">
        <v>23</v>
      </c>
      <c r="B2180" s="33">
        <v>61473000000</v>
      </c>
    </row>
    <row r="2181" spans="1:2" x14ac:dyDescent="0.35">
      <c r="A2181" t="s">
        <v>24</v>
      </c>
      <c r="B2181" t="s">
        <v>35</v>
      </c>
    </row>
    <row r="2182" spans="1:2" x14ac:dyDescent="0.35">
      <c r="A2182" t="s">
        <v>25</v>
      </c>
      <c r="B2182" s="33">
        <v>14090000000</v>
      </c>
    </row>
    <row r="2183" spans="1:2" x14ac:dyDescent="0.35">
      <c r="A2183" t="s">
        <v>26</v>
      </c>
      <c r="B2183" s="33">
        <v>18812000000</v>
      </c>
    </row>
    <row r="2184" spans="1:2" x14ac:dyDescent="0.35">
      <c r="A2184" t="s">
        <v>27</v>
      </c>
      <c r="B2184" s="33">
        <v>39519000000</v>
      </c>
    </row>
    <row r="2185" spans="1:2" x14ac:dyDescent="0.35">
      <c r="A2185" t="s">
        <v>28</v>
      </c>
      <c r="B2185" t="s">
        <v>35</v>
      </c>
    </row>
    <row r="2187" spans="1:2" x14ac:dyDescent="0.35">
      <c r="A2187" t="s">
        <v>36</v>
      </c>
    </row>
    <row r="2188" spans="1:2" x14ac:dyDescent="0.35">
      <c r="A2188" t="s">
        <v>23</v>
      </c>
      <c r="B2188" s="33">
        <v>52871000000</v>
      </c>
    </row>
    <row r="2189" spans="1:2" x14ac:dyDescent="0.35">
      <c r="A2189" t="s">
        <v>24</v>
      </c>
      <c r="B2189" s="33">
        <v>28584000000</v>
      </c>
    </row>
    <row r="2190" spans="1:2" x14ac:dyDescent="0.35">
      <c r="A2190" t="s">
        <v>25</v>
      </c>
      <c r="B2190" s="33">
        <v>15294000000</v>
      </c>
    </row>
    <row r="2191" spans="1:2" x14ac:dyDescent="0.35">
      <c r="A2191" t="s">
        <v>26</v>
      </c>
      <c r="B2191" s="33">
        <v>8968000000</v>
      </c>
    </row>
    <row r="2192" spans="1:2" x14ac:dyDescent="0.35">
      <c r="A2192" t="s">
        <v>27</v>
      </c>
      <c r="B2192" s="33">
        <v>12912000000</v>
      </c>
    </row>
    <row r="2193" spans="1:2" x14ac:dyDescent="0.35">
      <c r="A2193" t="s">
        <v>28</v>
      </c>
      <c r="B2193" s="34">
        <v>0.54</v>
      </c>
    </row>
    <row r="2195" spans="1:2" x14ac:dyDescent="0.35">
      <c r="A2195" t="s">
        <v>41</v>
      </c>
    </row>
    <row r="2196" spans="1:2" x14ac:dyDescent="0.35">
      <c r="A2196" t="s">
        <v>23</v>
      </c>
      <c r="B2196" s="33">
        <v>41831000000</v>
      </c>
    </row>
    <row r="2197" spans="1:2" x14ac:dyDescent="0.35">
      <c r="A2197" t="s">
        <v>24</v>
      </c>
      <c r="B2197" s="33">
        <v>7031000000</v>
      </c>
    </row>
    <row r="2198" spans="1:2" x14ac:dyDescent="0.35">
      <c r="A2198" t="s">
        <v>25</v>
      </c>
      <c r="B2198" s="33">
        <v>2617000000</v>
      </c>
    </row>
    <row r="2199" spans="1:2" x14ac:dyDescent="0.35">
      <c r="A2199" t="s">
        <v>26</v>
      </c>
      <c r="B2199" s="33">
        <v>4696000000</v>
      </c>
    </row>
    <row r="2200" spans="1:2" x14ac:dyDescent="0.35">
      <c r="A2200" t="s">
        <v>27</v>
      </c>
      <c r="B2200" s="33">
        <v>4622000000</v>
      </c>
    </row>
    <row r="2201" spans="1:2" x14ac:dyDescent="0.35">
      <c r="A2201" t="s">
        <v>28</v>
      </c>
      <c r="B2201" s="34">
        <v>0.17</v>
      </c>
    </row>
    <row r="2203" spans="1:2" x14ac:dyDescent="0.35">
      <c r="A2203" t="s">
        <v>42</v>
      </c>
    </row>
    <row r="2204" spans="1:2" x14ac:dyDescent="0.35">
      <c r="A2204" t="s">
        <v>23</v>
      </c>
      <c r="B2204" s="33">
        <v>36118000000</v>
      </c>
    </row>
    <row r="2205" spans="1:2" x14ac:dyDescent="0.35">
      <c r="A2205" t="s">
        <v>24</v>
      </c>
      <c r="B2205" s="33">
        <v>3057000000</v>
      </c>
    </row>
    <row r="2206" spans="1:2" x14ac:dyDescent="0.35">
      <c r="A2206" t="s">
        <v>25</v>
      </c>
      <c r="B2206" t="s">
        <v>35</v>
      </c>
    </row>
    <row r="2207" spans="1:2" x14ac:dyDescent="0.35">
      <c r="A2207" t="s">
        <v>26</v>
      </c>
      <c r="B2207" s="33">
        <v>1610000000</v>
      </c>
    </row>
    <row r="2208" spans="1:2" x14ac:dyDescent="0.35">
      <c r="A2208" t="s">
        <v>27</v>
      </c>
      <c r="B2208" s="33">
        <v>3922000000</v>
      </c>
    </row>
    <row r="2209" spans="1:2" x14ac:dyDescent="0.35">
      <c r="A2209" t="s">
        <v>28</v>
      </c>
      <c r="B2209" s="34">
        <v>0.08</v>
      </c>
    </row>
    <row r="2211" spans="1:2" x14ac:dyDescent="0.35">
      <c r="A2211" t="s">
        <v>37</v>
      </c>
    </row>
    <row r="2212" spans="1:2" x14ac:dyDescent="0.35">
      <c r="A2212" t="s">
        <v>23</v>
      </c>
      <c r="B2212" s="33">
        <v>90805000000</v>
      </c>
    </row>
    <row r="2213" spans="1:2" x14ac:dyDescent="0.35">
      <c r="A2213" t="s">
        <v>24</v>
      </c>
      <c r="B2213" s="33">
        <v>60521000000</v>
      </c>
    </row>
    <row r="2214" spans="1:2" x14ac:dyDescent="0.35">
      <c r="A2214" t="s">
        <v>25</v>
      </c>
      <c r="B2214" s="33">
        <v>2163000000</v>
      </c>
    </row>
    <row r="2215" spans="1:2" x14ac:dyDescent="0.35">
      <c r="A2215" t="s">
        <v>26</v>
      </c>
      <c r="B2215" s="33">
        <v>42779000000</v>
      </c>
    </row>
    <row r="2216" spans="1:2" x14ac:dyDescent="0.35">
      <c r="A2216" t="s">
        <v>27</v>
      </c>
      <c r="B2216" s="33">
        <v>54724000000</v>
      </c>
    </row>
    <row r="2217" spans="1:2" x14ac:dyDescent="0.35">
      <c r="A2217" t="s">
        <v>28</v>
      </c>
      <c r="B2217" s="34">
        <v>0.67</v>
      </c>
    </row>
    <row r="2219" spans="1:2" x14ac:dyDescent="0.35">
      <c r="A2219" t="s">
        <v>38</v>
      </c>
    </row>
    <row r="2220" spans="1:2" x14ac:dyDescent="0.35">
      <c r="A2220" t="s">
        <v>23</v>
      </c>
      <c r="B2220" s="33">
        <v>19322000000</v>
      </c>
    </row>
    <row r="2221" spans="1:2" x14ac:dyDescent="0.35">
      <c r="A2221" t="s">
        <v>24</v>
      </c>
      <c r="B2221" s="33">
        <v>19790000000</v>
      </c>
    </row>
    <row r="2222" spans="1:2" x14ac:dyDescent="0.35">
      <c r="A2222" t="s">
        <v>25</v>
      </c>
      <c r="B2222" s="33">
        <v>16088000000</v>
      </c>
    </row>
    <row r="2223" spans="1:2" x14ac:dyDescent="0.35">
      <c r="A2223" t="s">
        <v>26</v>
      </c>
      <c r="B2223" s="33">
        <v>3698000000</v>
      </c>
    </row>
    <row r="2224" spans="1:2" x14ac:dyDescent="0.35">
      <c r="A2224" t="s">
        <v>27</v>
      </c>
      <c r="B2224" t="s">
        <v>35</v>
      </c>
    </row>
    <row r="2225" spans="1:2" x14ac:dyDescent="0.35">
      <c r="A2225" t="s">
        <v>28</v>
      </c>
      <c r="B2225" s="34">
        <v>1.02</v>
      </c>
    </row>
    <row r="2227" spans="1:2" x14ac:dyDescent="0.35">
      <c r="A2227" t="s">
        <v>39</v>
      </c>
    </row>
    <row r="2228" spans="1:2" x14ac:dyDescent="0.35">
      <c r="A2228" t="s">
        <v>23</v>
      </c>
      <c r="B2228" s="33">
        <v>265595000000</v>
      </c>
    </row>
    <row r="2229" spans="1:2" x14ac:dyDescent="0.35">
      <c r="A2229" t="s">
        <v>24</v>
      </c>
      <c r="B2229" s="33">
        <v>146860000000</v>
      </c>
    </row>
    <row r="2230" spans="1:2" x14ac:dyDescent="0.35">
      <c r="A2230" t="s">
        <v>25</v>
      </c>
      <c r="B2230" s="33">
        <v>20553000000</v>
      </c>
    </row>
    <row r="2231" spans="1:2" x14ac:dyDescent="0.35">
      <c r="A2231" t="s">
        <v>26</v>
      </c>
      <c r="B2231" s="33">
        <v>81754000000</v>
      </c>
    </row>
    <row r="2232" spans="1:2" x14ac:dyDescent="0.35">
      <c r="A2232" t="s">
        <v>27</v>
      </c>
      <c r="B2232" s="33">
        <v>113258000000</v>
      </c>
    </row>
    <row r="2233" spans="1:2" x14ac:dyDescent="0.35">
      <c r="A2233" t="s">
        <v>28</v>
      </c>
      <c r="B2233" s="34">
        <v>0.55000000000000004</v>
      </c>
    </row>
    <row r="2235" spans="1:2" x14ac:dyDescent="0.35">
      <c r="A2235" t="s">
        <v>43</v>
      </c>
    </row>
    <row r="2236" spans="1:2" x14ac:dyDescent="0.35">
      <c r="A2236" t="s">
        <v>23</v>
      </c>
      <c r="B2236" s="33">
        <v>36148000000</v>
      </c>
    </row>
    <row r="2237" spans="1:2" x14ac:dyDescent="0.35">
      <c r="A2237" t="s">
        <v>24</v>
      </c>
      <c r="B2237" s="33">
        <v>193893000000</v>
      </c>
    </row>
    <row r="2238" spans="1:2" x14ac:dyDescent="0.35">
      <c r="A2238" t="s">
        <v>25</v>
      </c>
      <c r="B2238" t="s">
        <v>35</v>
      </c>
    </row>
    <row r="2239" spans="1:2" x14ac:dyDescent="0.35">
      <c r="A2239" t="s">
        <v>26</v>
      </c>
      <c r="B2239" s="33">
        <v>136162000000</v>
      </c>
    </row>
    <row r="2240" spans="1:2" x14ac:dyDescent="0.35">
      <c r="A2240" t="s">
        <v>27</v>
      </c>
      <c r="B2240" s="33">
        <v>154562000000</v>
      </c>
    </row>
    <row r="2241" spans="1:2" x14ac:dyDescent="0.35">
      <c r="A2241" t="s">
        <v>28</v>
      </c>
      <c r="B2241" s="34">
        <v>5.36</v>
      </c>
    </row>
    <row r="2243" spans="1:2" x14ac:dyDescent="0.35">
      <c r="A2243" t="s">
        <v>44</v>
      </c>
    </row>
    <row r="2244" spans="1:2" x14ac:dyDescent="0.35">
      <c r="A2244" t="s">
        <v>23</v>
      </c>
      <c r="B2244" s="33">
        <v>343011000000</v>
      </c>
    </row>
    <row r="2245" spans="1:2" x14ac:dyDescent="0.35">
      <c r="A2245" t="s">
        <v>24</v>
      </c>
      <c r="B2245" t="s">
        <v>35</v>
      </c>
    </row>
    <row r="2246" spans="1:2" x14ac:dyDescent="0.35">
      <c r="A2246" t="s">
        <v>25</v>
      </c>
      <c r="B2246" s="33">
        <v>71516000000</v>
      </c>
    </row>
    <row r="2247" spans="1:2" x14ac:dyDescent="0.35">
      <c r="A2247" t="s">
        <v>26</v>
      </c>
      <c r="B2247" s="33">
        <v>18352000000</v>
      </c>
    </row>
    <row r="2248" spans="1:2" x14ac:dyDescent="0.35">
      <c r="A2248" t="s">
        <v>27</v>
      </c>
      <c r="B2248" t="s">
        <v>35</v>
      </c>
    </row>
    <row r="2249" spans="1:2" x14ac:dyDescent="0.35">
      <c r="A2249" t="s">
        <v>28</v>
      </c>
      <c r="B2249" t="s">
        <v>35</v>
      </c>
    </row>
    <row r="2251" spans="1:2" x14ac:dyDescent="0.35">
      <c r="A2251" t="s">
        <v>45</v>
      </c>
    </row>
    <row r="2252" spans="1:2" x14ac:dyDescent="0.35">
      <c r="A2252" t="s">
        <v>23</v>
      </c>
      <c r="B2252" s="33">
        <v>18881000000</v>
      </c>
    </row>
    <row r="2253" spans="1:2" x14ac:dyDescent="0.35">
      <c r="A2253" t="s">
        <v>24</v>
      </c>
      <c r="B2253" t="s">
        <v>35</v>
      </c>
    </row>
    <row r="2254" spans="1:2" x14ac:dyDescent="0.35">
      <c r="A2254" t="s">
        <v>25</v>
      </c>
      <c r="B2254" s="33">
        <v>1663000000</v>
      </c>
    </row>
    <row r="2255" spans="1:2" x14ac:dyDescent="0.35">
      <c r="A2255" t="s">
        <v>26</v>
      </c>
      <c r="B2255" s="33">
        <v>3317000000</v>
      </c>
    </row>
    <row r="2256" spans="1:2" x14ac:dyDescent="0.35">
      <c r="A2256" t="s">
        <v>27</v>
      </c>
      <c r="B2256" s="33">
        <v>2330000000</v>
      </c>
    </row>
    <row r="2257" spans="1:2" x14ac:dyDescent="0.35">
      <c r="A2257" t="s">
        <v>28</v>
      </c>
      <c r="B2257" t="s">
        <v>35</v>
      </c>
    </row>
    <row r="2259" spans="1:2" x14ac:dyDescent="0.35">
      <c r="A2259" t="s">
        <v>46</v>
      </c>
    </row>
    <row r="2260" spans="1:2" x14ac:dyDescent="0.35">
      <c r="A2260" t="s">
        <v>23</v>
      </c>
      <c r="B2260" s="33">
        <v>23664000000</v>
      </c>
    </row>
    <row r="2261" spans="1:2" x14ac:dyDescent="0.35">
      <c r="A2261" t="s">
        <v>24</v>
      </c>
      <c r="B2261" s="33">
        <v>14787000000</v>
      </c>
    </row>
    <row r="2262" spans="1:2" x14ac:dyDescent="0.35">
      <c r="A2262" t="s">
        <v>25</v>
      </c>
      <c r="B2262" s="33">
        <v>6704000000</v>
      </c>
    </row>
    <row r="2263" spans="1:2" x14ac:dyDescent="0.35">
      <c r="A2263" t="s">
        <v>26</v>
      </c>
      <c r="B2263" s="33">
        <v>-1391000000</v>
      </c>
    </row>
    <row r="2264" spans="1:2" x14ac:dyDescent="0.35">
      <c r="A2264" t="s">
        <v>27</v>
      </c>
      <c r="B2264" s="33">
        <v>10778000000</v>
      </c>
    </row>
    <row r="2265" spans="1:2" x14ac:dyDescent="0.35">
      <c r="A2265" t="s">
        <v>28</v>
      </c>
      <c r="B2265" s="34">
        <v>0.62</v>
      </c>
    </row>
    <row r="2267" spans="1:2" x14ac:dyDescent="0.35">
      <c r="A2267" t="s">
        <v>47</v>
      </c>
    </row>
    <row r="2268" spans="1:2" x14ac:dyDescent="0.35">
      <c r="A2268" t="s">
        <v>23</v>
      </c>
      <c r="B2268" s="33">
        <v>30818000000</v>
      </c>
    </row>
    <row r="2269" spans="1:2" x14ac:dyDescent="0.35">
      <c r="A2269" t="s">
        <v>24</v>
      </c>
      <c r="B2269" s="33">
        <v>2786000000</v>
      </c>
    </row>
    <row r="2270" spans="1:2" x14ac:dyDescent="0.35">
      <c r="A2270" t="s">
        <v>25</v>
      </c>
      <c r="B2270" s="33">
        <v>3287000000</v>
      </c>
    </row>
    <row r="2271" spans="1:2" x14ac:dyDescent="0.35">
      <c r="A2271" t="s">
        <v>26</v>
      </c>
      <c r="B2271" s="33">
        <v>4411000000</v>
      </c>
    </row>
    <row r="2272" spans="1:2" x14ac:dyDescent="0.35">
      <c r="A2272" t="s">
        <v>27</v>
      </c>
      <c r="B2272" t="s">
        <v>35</v>
      </c>
    </row>
    <row r="2273" spans="1:2" x14ac:dyDescent="0.35">
      <c r="A2273" t="s">
        <v>28</v>
      </c>
      <c r="B2273" s="34">
        <v>0.09</v>
      </c>
    </row>
    <row r="2275" spans="1:2" x14ac:dyDescent="0.35">
      <c r="A2275" t="s">
        <v>48</v>
      </c>
    </row>
    <row r="2276" spans="1:2" x14ac:dyDescent="0.35">
      <c r="A2276" t="s">
        <v>23</v>
      </c>
      <c r="B2276" s="33">
        <v>31519000000</v>
      </c>
    </row>
    <row r="2277" spans="1:2" x14ac:dyDescent="0.35">
      <c r="A2277" t="s">
        <v>24</v>
      </c>
      <c r="B2277" s="33">
        <v>18008000000</v>
      </c>
    </row>
    <row r="2278" spans="1:2" x14ac:dyDescent="0.35">
      <c r="A2278" t="s">
        <v>25</v>
      </c>
      <c r="B2278" s="33">
        <v>9913000000</v>
      </c>
    </row>
    <row r="2279" spans="1:2" x14ac:dyDescent="0.35">
      <c r="A2279" t="s">
        <v>26</v>
      </c>
      <c r="B2279" s="33">
        <v>6071000000</v>
      </c>
    </row>
    <row r="2280" spans="1:2" x14ac:dyDescent="0.35">
      <c r="A2280" t="s">
        <v>27</v>
      </c>
      <c r="B2280" s="33">
        <v>7163000000</v>
      </c>
    </row>
    <row r="2281" spans="1:2" x14ac:dyDescent="0.35">
      <c r="A2281" t="s">
        <v>28</v>
      </c>
      <c r="B2281" s="34">
        <v>0.56999999999999995</v>
      </c>
    </row>
    <row r="2283" spans="1:2" x14ac:dyDescent="0.35">
      <c r="A2283" t="s">
        <v>49</v>
      </c>
    </row>
    <row r="2284" spans="1:2" x14ac:dyDescent="0.35">
      <c r="A2284" t="s">
        <v>23</v>
      </c>
      <c r="B2284" s="33">
        <v>12298000000</v>
      </c>
    </row>
    <row r="2285" spans="1:2" x14ac:dyDescent="0.35">
      <c r="A2285" t="s">
        <v>24</v>
      </c>
      <c r="B2285" t="s">
        <v>35</v>
      </c>
    </row>
    <row r="2286" spans="1:2" x14ac:dyDescent="0.35">
      <c r="A2286" t="s">
        <v>25</v>
      </c>
      <c r="B2286" s="33">
        <v>2212000000</v>
      </c>
    </row>
    <row r="2287" spans="1:2" x14ac:dyDescent="0.35">
      <c r="A2287" t="s">
        <v>26</v>
      </c>
      <c r="B2287" s="33">
        <v>-1033000000</v>
      </c>
    </row>
    <row r="2288" spans="1:2" x14ac:dyDescent="0.35">
      <c r="A2288" t="s">
        <v>27</v>
      </c>
      <c r="B2288" s="33">
        <v>4221000000</v>
      </c>
    </row>
    <row r="2289" spans="1:2" x14ac:dyDescent="0.35">
      <c r="A2289" t="s">
        <v>28</v>
      </c>
      <c r="B2289" t="s">
        <v>35</v>
      </c>
    </row>
    <row r="2291" spans="1:2" x14ac:dyDescent="0.35">
      <c r="A2291" t="s">
        <v>50</v>
      </c>
    </row>
    <row r="2292" spans="1:2" x14ac:dyDescent="0.35">
      <c r="A2292" t="s">
        <v>23</v>
      </c>
      <c r="B2292" s="33">
        <v>91141000000</v>
      </c>
    </row>
    <row r="2293" spans="1:2" x14ac:dyDescent="0.35">
      <c r="A2293" t="s">
        <v>24</v>
      </c>
      <c r="B2293" s="33">
        <v>-3135000000</v>
      </c>
    </row>
    <row r="2294" spans="1:2" x14ac:dyDescent="0.35">
      <c r="A2294" t="s">
        <v>25</v>
      </c>
      <c r="B2294" s="33">
        <v>8554000000</v>
      </c>
    </row>
    <row r="2295" spans="1:2" x14ac:dyDescent="0.35">
      <c r="A2295" t="s">
        <v>26</v>
      </c>
      <c r="B2295" s="33">
        <v>12969000000</v>
      </c>
    </row>
    <row r="2296" spans="1:2" x14ac:dyDescent="0.35">
      <c r="A2296" t="s">
        <v>27</v>
      </c>
      <c r="B2296" s="33">
        <v>12546000000</v>
      </c>
    </row>
    <row r="2297" spans="1:2" x14ac:dyDescent="0.35">
      <c r="A2297" t="s">
        <v>28</v>
      </c>
      <c r="B2297" s="34">
        <v>-0.03</v>
      </c>
    </row>
    <row r="2299" spans="1:2" x14ac:dyDescent="0.35">
      <c r="A2299" t="s">
        <v>51</v>
      </c>
    </row>
    <row r="2300" spans="1:2" x14ac:dyDescent="0.35">
      <c r="A2300" t="s">
        <v>23</v>
      </c>
      <c r="B2300" s="33">
        <v>3913000000</v>
      </c>
    </row>
    <row r="2301" spans="1:2" x14ac:dyDescent="0.35">
      <c r="A2301" t="s">
        <v>24</v>
      </c>
      <c r="B2301" s="33">
        <v>6795000000</v>
      </c>
    </row>
    <row r="2302" spans="1:2" x14ac:dyDescent="0.35">
      <c r="A2302" t="s">
        <v>25</v>
      </c>
      <c r="B2302" s="33">
        <v>1877000000</v>
      </c>
    </row>
    <row r="2303" spans="1:2" x14ac:dyDescent="0.35">
      <c r="A2303" t="s">
        <v>26</v>
      </c>
      <c r="B2303" s="33">
        <v>2950000000</v>
      </c>
    </row>
    <row r="2304" spans="1:2" x14ac:dyDescent="0.35">
      <c r="A2304" t="s">
        <v>27</v>
      </c>
      <c r="B2304" s="33">
        <v>2517000000</v>
      </c>
    </row>
    <row r="2305" spans="1:2" x14ac:dyDescent="0.35">
      <c r="A2305" t="s">
        <v>28</v>
      </c>
      <c r="B2305" s="34">
        <v>1.74</v>
      </c>
    </row>
    <row r="2307" spans="1:2" x14ac:dyDescent="0.35">
      <c r="A2307" t="s">
        <v>40</v>
      </c>
    </row>
    <row r="2308" spans="1:2" x14ac:dyDescent="0.35">
      <c r="A2308" t="s">
        <v>23</v>
      </c>
      <c r="B2308" s="33">
        <v>61473000000</v>
      </c>
    </row>
    <row r="2309" spans="1:2" x14ac:dyDescent="0.35">
      <c r="A2309" t="s">
        <v>24</v>
      </c>
      <c r="B2309" t="s">
        <v>35</v>
      </c>
    </row>
    <row r="2310" spans="1:2" x14ac:dyDescent="0.35">
      <c r="A2310" t="s">
        <v>25</v>
      </c>
      <c r="B2310" s="33">
        <v>14090000000</v>
      </c>
    </row>
    <row r="2311" spans="1:2" x14ac:dyDescent="0.35">
      <c r="A2311" t="s">
        <v>26</v>
      </c>
      <c r="B2311" s="33">
        <v>18812000000</v>
      </c>
    </row>
    <row r="2312" spans="1:2" x14ac:dyDescent="0.35">
      <c r="A2312" t="s">
        <v>27</v>
      </c>
      <c r="B2312" s="33">
        <v>39519000000</v>
      </c>
    </row>
    <row r="2313" spans="1:2" x14ac:dyDescent="0.35">
      <c r="A2313" t="s">
        <v>28</v>
      </c>
      <c r="B2313" t="s">
        <v>35</v>
      </c>
    </row>
    <row r="2315" spans="1:2" x14ac:dyDescent="0.35">
      <c r="A2315" t="s">
        <v>36</v>
      </c>
    </row>
    <row r="2316" spans="1:2" x14ac:dyDescent="0.35">
      <c r="A2316" t="s">
        <v>23</v>
      </c>
      <c r="B2316" s="33">
        <v>52871000000</v>
      </c>
    </row>
    <row r="2317" spans="1:2" x14ac:dyDescent="0.35">
      <c r="A2317" t="s">
        <v>24</v>
      </c>
      <c r="B2317" s="33">
        <v>28584000000</v>
      </c>
    </row>
    <row r="2318" spans="1:2" x14ac:dyDescent="0.35">
      <c r="A2318" t="s">
        <v>25</v>
      </c>
      <c r="B2318" s="33">
        <v>15294000000</v>
      </c>
    </row>
    <row r="2319" spans="1:2" x14ac:dyDescent="0.35">
      <c r="A2319" t="s">
        <v>26</v>
      </c>
      <c r="B2319" s="33">
        <v>8968000000</v>
      </c>
    </row>
    <row r="2320" spans="1:2" x14ac:dyDescent="0.35">
      <c r="A2320" t="s">
        <v>27</v>
      </c>
      <c r="B2320" s="33">
        <v>12912000000</v>
      </c>
    </row>
    <row r="2321" spans="1:2" x14ac:dyDescent="0.35">
      <c r="A2321" t="s">
        <v>28</v>
      </c>
      <c r="B2321" s="34">
        <v>0.54</v>
      </c>
    </row>
    <row r="2323" spans="1:2" x14ac:dyDescent="0.35">
      <c r="A2323" t="s">
        <v>41</v>
      </c>
    </row>
    <row r="2324" spans="1:2" x14ac:dyDescent="0.35">
      <c r="A2324" t="s">
        <v>23</v>
      </c>
      <c r="B2324" s="33">
        <v>41831000000</v>
      </c>
    </row>
    <row r="2325" spans="1:2" x14ac:dyDescent="0.35">
      <c r="A2325" t="s">
        <v>24</v>
      </c>
      <c r="B2325" s="33">
        <v>7031000000</v>
      </c>
    </row>
    <row r="2326" spans="1:2" x14ac:dyDescent="0.35">
      <c r="A2326" t="s">
        <v>25</v>
      </c>
      <c r="B2326" s="33">
        <v>2617000000</v>
      </c>
    </row>
    <row r="2327" spans="1:2" x14ac:dyDescent="0.35">
      <c r="A2327" t="s">
        <v>26</v>
      </c>
      <c r="B2327" s="33">
        <v>4696000000</v>
      </c>
    </row>
    <row r="2328" spans="1:2" x14ac:dyDescent="0.35">
      <c r="A2328" t="s">
        <v>27</v>
      </c>
      <c r="B2328" s="33">
        <v>4622000000</v>
      </c>
    </row>
    <row r="2329" spans="1:2" x14ac:dyDescent="0.35">
      <c r="A2329" t="s">
        <v>28</v>
      </c>
      <c r="B2329" s="34">
        <v>0.17</v>
      </c>
    </row>
    <row r="2331" spans="1:2" x14ac:dyDescent="0.35">
      <c r="A2331" t="s">
        <v>42</v>
      </c>
    </row>
    <row r="2332" spans="1:2" x14ac:dyDescent="0.35">
      <c r="A2332" t="s">
        <v>23</v>
      </c>
      <c r="B2332" s="33">
        <v>36118000000</v>
      </c>
    </row>
    <row r="2333" spans="1:2" x14ac:dyDescent="0.35">
      <c r="A2333" t="s">
        <v>24</v>
      </c>
      <c r="B2333" s="33">
        <v>3057000000</v>
      </c>
    </row>
    <row r="2334" spans="1:2" x14ac:dyDescent="0.35">
      <c r="A2334" t="s">
        <v>25</v>
      </c>
      <c r="B2334" t="s">
        <v>35</v>
      </c>
    </row>
    <row r="2335" spans="1:2" x14ac:dyDescent="0.35">
      <c r="A2335" t="s">
        <v>26</v>
      </c>
      <c r="B2335" s="33">
        <v>1610000000</v>
      </c>
    </row>
    <row r="2336" spans="1:2" x14ac:dyDescent="0.35">
      <c r="A2336" t="s">
        <v>27</v>
      </c>
      <c r="B2336" s="33">
        <v>3922000000</v>
      </c>
    </row>
    <row r="2337" spans="1:2" x14ac:dyDescent="0.35">
      <c r="A2337" t="s">
        <v>28</v>
      </c>
      <c r="B2337" s="34">
        <v>0.08</v>
      </c>
    </row>
    <row r="2339" spans="1:2" x14ac:dyDescent="0.35">
      <c r="A2339" t="s">
        <v>37</v>
      </c>
    </row>
    <row r="2340" spans="1:2" x14ac:dyDescent="0.35">
      <c r="A2340" t="s">
        <v>23</v>
      </c>
      <c r="B2340" s="33">
        <v>90805000000</v>
      </c>
    </row>
    <row r="2341" spans="1:2" x14ac:dyDescent="0.35">
      <c r="A2341" t="s">
        <v>24</v>
      </c>
      <c r="B2341" s="33">
        <v>60521000000</v>
      </c>
    </row>
    <row r="2342" spans="1:2" x14ac:dyDescent="0.35">
      <c r="A2342" t="s">
        <v>25</v>
      </c>
      <c r="B2342" s="33">
        <v>2163000000</v>
      </c>
    </row>
    <row r="2343" spans="1:2" x14ac:dyDescent="0.35">
      <c r="A2343" t="s">
        <v>26</v>
      </c>
      <c r="B2343" s="33">
        <v>42779000000</v>
      </c>
    </row>
    <row r="2344" spans="1:2" x14ac:dyDescent="0.35">
      <c r="A2344" t="s">
        <v>27</v>
      </c>
      <c r="B2344" s="33">
        <v>54724000000</v>
      </c>
    </row>
    <row r="2345" spans="1:2" x14ac:dyDescent="0.35">
      <c r="A2345" t="s">
        <v>28</v>
      </c>
      <c r="B2345" s="34">
        <v>0.67</v>
      </c>
    </row>
    <row r="2347" spans="1:2" x14ac:dyDescent="0.35">
      <c r="A2347" t="s">
        <v>38</v>
      </c>
    </row>
    <row r="2348" spans="1:2" x14ac:dyDescent="0.35">
      <c r="A2348" t="s">
        <v>23</v>
      </c>
      <c r="B2348" s="33">
        <v>19322000000</v>
      </c>
    </row>
    <row r="2349" spans="1:2" x14ac:dyDescent="0.35">
      <c r="A2349" t="s">
        <v>24</v>
      </c>
      <c r="B2349" s="33">
        <v>19790000000</v>
      </c>
    </row>
    <row r="2350" spans="1:2" x14ac:dyDescent="0.35">
      <c r="A2350" t="s">
        <v>25</v>
      </c>
      <c r="B2350" s="33">
        <v>16088000000</v>
      </c>
    </row>
    <row r="2351" spans="1:2" x14ac:dyDescent="0.35">
      <c r="A2351" t="s">
        <v>26</v>
      </c>
      <c r="B2351" s="33">
        <v>3698000000</v>
      </c>
    </row>
    <row r="2352" spans="1:2" x14ac:dyDescent="0.35">
      <c r="A2352" t="s">
        <v>27</v>
      </c>
      <c r="B2352" t="s">
        <v>35</v>
      </c>
    </row>
    <row r="2353" spans="1:2" x14ac:dyDescent="0.35">
      <c r="A2353" t="s">
        <v>28</v>
      </c>
      <c r="B2353" s="34">
        <v>1.02</v>
      </c>
    </row>
    <row r="2355" spans="1:2" x14ac:dyDescent="0.35">
      <c r="A2355" t="s">
        <v>39</v>
      </c>
    </row>
    <row r="2356" spans="1:2" x14ac:dyDescent="0.35">
      <c r="A2356" t="s">
        <v>23</v>
      </c>
      <c r="B2356" s="33">
        <v>265595000000</v>
      </c>
    </row>
    <row r="2357" spans="1:2" x14ac:dyDescent="0.35">
      <c r="A2357" t="s">
        <v>24</v>
      </c>
      <c r="B2357" s="33">
        <v>146860000000</v>
      </c>
    </row>
    <row r="2358" spans="1:2" x14ac:dyDescent="0.35">
      <c r="A2358" t="s">
        <v>25</v>
      </c>
      <c r="B2358" s="33">
        <v>20553000000</v>
      </c>
    </row>
    <row r="2359" spans="1:2" x14ac:dyDescent="0.35">
      <c r="A2359" t="s">
        <v>26</v>
      </c>
      <c r="B2359" s="33">
        <v>81754000000</v>
      </c>
    </row>
    <row r="2360" spans="1:2" x14ac:dyDescent="0.35">
      <c r="A2360" t="s">
        <v>27</v>
      </c>
      <c r="B2360" s="33">
        <v>113258000000</v>
      </c>
    </row>
    <row r="2361" spans="1:2" x14ac:dyDescent="0.35">
      <c r="A2361" t="s">
        <v>28</v>
      </c>
      <c r="B2361" s="34">
        <v>0.55000000000000004</v>
      </c>
    </row>
    <row r="2363" spans="1:2" x14ac:dyDescent="0.35">
      <c r="A2363" t="s">
        <v>43</v>
      </c>
    </row>
    <row r="2364" spans="1:2" x14ac:dyDescent="0.35">
      <c r="A2364" t="s">
        <v>23</v>
      </c>
      <c r="B2364" s="33">
        <v>36148000000</v>
      </c>
    </row>
    <row r="2365" spans="1:2" x14ac:dyDescent="0.35">
      <c r="A2365" t="s">
        <v>24</v>
      </c>
      <c r="B2365" s="33">
        <v>193893000000</v>
      </c>
    </row>
    <row r="2366" spans="1:2" x14ac:dyDescent="0.35">
      <c r="A2366" t="s">
        <v>25</v>
      </c>
      <c r="B2366" t="s">
        <v>35</v>
      </c>
    </row>
    <row r="2367" spans="1:2" x14ac:dyDescent="0.35">
      <c r="A2367" t="s">
        <v>26</v>
      </c>
      <c r="B2367" s="33">
        <v>136162000000</v>
      </c>
    </row>
    <row r="2368" spans="1:2" x14ac:dyDescent="0.35">
      <c r="A2368" t="s">
        <v>27</v>
      </c>
      <c r="B2368" s="33">
        <v>154562000000</v>
      </c>
    </row>
    <row r="2369" spans="1:2" x14ac:dyDescent="0.35">
      <c r="A2369" t="s">
        <v>28</v>
      </c>
      <c r="B2369" s="34">
        <v>5.36</v>
      </c>
    </row>
    <row r="2371" spans="1:2" x14ac:dyDescent="0.35">
      <c r="A2371" t="s">
        <v>44</v>
      </c>
    </row>
    <row r="2372" spans="1:2" x14ac:dyDescent="0.35">
      <c r="A2372" t="s">
        <v>23</v>
      </c>
      <c r="B2372" s="33">
        <v>343011000000</v>
      </c>
    </row>
    <row r="2373" spans="1:2" x14ac:dyDescent="0.35">
      <c r="A2373" t="s">
        <v>24</v>
      </c>
      <c r="B2373" t="s">
        <v>35</v>
      </c>
    </row>
    <row r="2374" spans="1:2" x14ac:dyDescent="0.35">
      <c r="A2374" t="s">
        <v>25</v>
      </c>
      <c r="B2374" s="33">
        <v>71516000000</v>
      </c>
    </row>
    <row r="2375" spans="1:2" x14ac:dyDescent="0.35">
      <c r="A2375" t="s">
        <v>26</v>
      </c>
      <c r="B2375" s="33">
        <v>18352000000</v>
      </c>
    </row>
    <row r="2376" spans="1:2" x14ac:dyDescent="0.35">
      <c r="A2376" t="s">
        <v>27</v>
      </c>
      <c r="B2376" t="s">
        <v>35</v>
      </c>
    </row>
    <row r="2377" spans="1:2" x14ac:dyDescent="0.35">
      <c r="A2377" t="s">
        <v>28</v>
      </c>
      <c r="B2377" t="s">
        <v>35</v>
      </c>
    </row>
    <row r="2379" spans="1:2" x14ac:dyDescent="0.35">
      <c r="A2379" t="s">
        <v>45</v>
      </c>
    </row>
    <row r="2380" spans="1:2" x14ac:dyDescent="0.35">
      <c r="A2380" t="s">
        <v>23</v>
      </c>
      <c r="B2380" s="33">
        <v>18881000000</v>
      </c>
    </row>
    <row r="2381" spans="1:2" x14ac:dyDescent="0.35">
      <c r="A2381" t="s">
        <v>24</v>
      </c>
      <c r="B2381" t="s">
        <v>35</v>
      </c>
    </row>
    <row r="2382" spans="1:2" x14ac:dyDescent="0.35">
      <c r="A2382" t="s">
        <v>25</v>
      </c>
      <c r="B2382" s="33">
        <v>1663000000</v>
      </c>
    </row>
    <row r="2383" spans="1:2" x14ac:dyDescent="0.35">
      <c r="A2383" t="s">
        <v>26</v>
      </c>
      <c r="B2383" s="33">
        <v>3317000000</v>
      </c>
    </row>
    <row r="2384" spans="1:2" x14ac:dyDescent="0.35">
      <c r="A2384" t="s">
        <v>27</v>
      </c>
      <c r="B2384" s="33">
        <v>2330000000</v>
      </c>
    </row>
    <row r="2385" spans="1:2" x14ac:dyDescent="0.35">
      <c r="A2385" t="s">
        <v>28</v>
      </c>
      <c r="B2385" t="s">
        <v>35</v>
      </c>
    </row>
    <row r="2387" spans="1:2" x14ac:dyDescent="0.35">
      <c r="A2387" t="s">
        <v>46</v>
      </c>
    </row>
    <row r="2388" spans="1:2" x14ac:dyDescent="0.35">
      <c r="A2388" t="s">
        <v>23</v>
      </c>
      <c r="B2388" s="33">
        <v>23664000000</v>
      </c>
    </row>
    <row r="2389" spans="1:2" x14ac:dyDescent="0.35">
      <c r="A2389" t="s">
        <v>24</v>
      </c>
      <c r="B2389" s="33">
        <v>14787000000</v>
      </c>
    </row>
    <row r="2390" spans="1:2" x14ac:dyDescent="0.35">
      <c r="A2390" t="s">
        <v>25</v>
      </c>
      <c r="B2390" s="33">
        <v>6704000000</v>
      </c>
    </row>
    <row r="2391" spans="1:2" x14ac:dyDescent="0.35">
      <c r="A2391" t="s">
        <v>26</v>
      </c>
      <c r="B2391" s="33">
        <v>-1391000000</v>
      </c>
    </row>
    <row r="2392" spans="1:2" x14ac:dyDescent="0.35">
      <c r="A2392" t="s">
        <v>27</v>
      </c>
      <c r="B2392" s="33">
        <v>10778000000</v>
      </c>
    </row>
    <row r="2393" spans="1:2" x14ac:dyDescent="0.35">
      <c r="A2393" t="s">
        <v>28</v>
      </c>
      <c r="B2393" s="34">
        <v>0.62</v>
      </c>
    </row>
    <row r="2395" spans="1:2" x14ac:dyDescent="0.35">
      <c r="A2395" t="s">
        <v>47</v>
      </c>
    </row>
    <row r="2396" spans="1:2" x14ac:dyDescent="0.35">
      <c r="A2396" t="s">
        <v>23</v>
      </c>
      <c r="B2396" s="33">
        <v>30818000000</v>
      </c>
    </row>
    <row r="2397" spans="1:2" x14ac:dyDescent="0.35">
      <c r="A2397" t="s">
        <v>24</v>
      </c>
      <c r="B2397" s="33">
        <v>2786000000</v>
      </c>
    </row>
    <row r="2398" spans="1:2" x14ac:dyDescent="0.35">
      <c r="A2398" t="s">
        <v>25</v>
      </c>
      <c r="B2398" s="33">
        <v>3287000000</v>
      </c>
    </row>
    <row r="2399" spans="1:2" x14ac:dyDescent="0.35">
      <c r="A2399" t="s">
        <v>26</v>
      </c>
      <c r="B2399" s="33">
        <v>4411000000</v>
      </c>
    </row>
    <row r="2400" spans="1:2" x14ac:dyDescent="0.35">
      <c r="A2400" t="s">
        <v>27</v>
      </c>
      <c r="B2400" t="s">
        <v>35</v>
      </c>
    </row>
    <row r="2401" spans="1:2" x14ac:dyDescent="0.35">
      <c r="A2401" t="s">
        <v>28</v>
      </c>
      <c r="B2401" s="34">
        <v>0.09</v>
      </c>
    </row>
    <row r="2403" spans="1:2" x14ac:dyDescent="0.35">
      <c r="A2403" t="s">
        <v>48</v>
      </c>
    </row>
    <row r="2404" spans="1:2" x14ac:dyDescent="0.35">
      <c r="A2404" t="s">
        <v>23</v>
      </c>
      <c r="B2404" s="33">
        <v>31519000000</v>
      </c>
    </row>
    <row r="2405" spans="1:2" x14ac:dyDescent="0.35">
      <c r="A2405" t="s">
        <v>24</v>
      </c>
      <c r="B2405" s="33">
        <v>18008000000</v>
      </c>
    </row>
    <row r="2406" spans="1:2" x14ac:dyDescent="0.35">
      <c r="A2406" t="s">
        <v>25</v>
      </c>
      <c r="B2406" s="33">
        <v>9913000000</v>
      </c>
    </row>
    <row r="2407" spans="1:2" x14ac:dyDescent="0.35">
      <c r="A2407" t="s">
        <v>26</v>
      </c>
      <c r="B2407" s="33">
        <v>6071000000</v>
      </c>
    </row>
    <row r="2408" spans="1:2" x14ac:dyDescent="0.35">
      <c r="A2408" t="s">
        <v>27</v>
      </c>
      <c r="B2408" s="33">
        <v>7163000000</v>
      </c>
    </row>
    <row r="2409" spans="1:2" x14ac:dyDescent="0.35">
      <c r="A2409" t="s">
        <v>28</v>
      </c>
      <c r="B2409" s="34">
        <v>0.56999999999999995</v>
      </c>
    </row>
    <row r="2411" spans="1:2" x14ac:dyDescent="0.35">
      <c r="A2411" t="s">
        <v>49</v>
      </c>
    </row>
    <row r="2412" spans="1:2" x14ac:dyDescent="0.35">
      <c r="A2412" t="s">
        <v>23</v>
      </c>
      <c r="B2412" s="33">
        <v>12298000000</v>
      </c>
    </row>
    <row r="2413" spans="1:2" x14ac:dyDescent="0.35">
      <c r="A2413" t="s">
        <v>24</v>
      </c>
      <c r="B2413" t="s">
        <v>35</v>
      </c>
    </row>
    <row r="2414" spans="1:2" x14ac:dyDescent="0.35">
      <c r="A2414" t="s">
        <v>25</v>
      </c>
      <c r="B2414" s="33">
        <v>2212000000</v>
      </c>
    </row>
    <row r="2415" spans="1:2" x14ac:dyDescent="0.35">
      <c r="A2415" t="s">
        <v>26</v>
      </c>
      <c r="B2415" s="33">
        <v>-1033000000</v>
      </c>
    </row>
    <row r="2416" spans="1:2" x14ac:dyDescent="0.35">
      <c r="A2416" t="s">
        <v>27</v>
      </c>
      <c r="B2416" s="33">
        <v>4221000000</v>
      </c>
    </row>
    <row r="2417" spans="1:2" x14ac:dyDescent="0.35">
      <c r="A2417" t="s">
        <v>28</v>
      </c>
      <c r="B2417" t="s">
        <v>35</v>
      </c>
    </row>
    <row r="2419" spans="1:2" x14ac:dyDescent="0.35">
      <c r="A2419" t="s">
        <v>50</v>
      </c>
    </row>
    <row r="2420" spans="1:2" x14ac:dyDescent="0.35">
      <c r="A2420" t="s">
        <v>23</v>
      </c>
      <c r="B2420" s="33">
        <v>91141000000</v>
      </c>
    </row>
    <row r="2421" spans="1:2" x14ac:dyDescent="0.35">
      <c r="A2421" t="s">
        <v>24</v>
      </c>
      <c r="B2421" s="33">
        <v>-3135000000</v>
      </c>
    </row>
    <row r="2422" spans="1:2" x14ac:dyDescent="0.35">
      <c r="A2422" t="s">
        <v>25</v>
      </c>
      <c r="B2422" s="33">
        <v>8554000000</v>
      </c>
    </row>
    <row r="2423" spans="1:2" x14ac:dyDescent="0.35">
      <c r="A2423" t="s">
        <v>26</v>
      </c>
      <c r="B2423" s="33">
        <v>12969000000</v>
      </c>
    </row>
    <row r="2424" spans="1:2" x14ac:dyDescent="0.35">
      <c r="A2424" t="s">
        <v>27</v>
      </c>
      <c r="B2424" s="33">
        <v>12546000000</v>
      </c>
    </row>
    <row r="2425" spans="1:2" x14ac:dyDescent="0.35">
      <c r="A2425" t="s">
        <v>28</v>
      </c>
      <c r="B2425" s="34">
        <v>-0.03</v>
      </c>
    </row>
    <row r="2427" spans="1:2" x14ac:dyDescent="0.35">
      <c r="A2427" t="s">
        <v>51</v>
      </c>
    </row>
    <row r="2428" spans="1:2" x14ac:dyDescent="0.35">
      <c r="A2428" t="s">
        <v>23</v>
      </c>
      <c r="B2428" s="33">
        <v>3913000000</v>
      </c>
    </row>
    <row r="2429" spans="1:2" x14ac:dyDescent="0.35">
      <c r="A2429" t="s">
        <v>24</v>
      </c>
      <c r="B2429" s="33">
        <v>6795000000</v>
      </c>
    </row>
    <row r="2430" spans="1:2" x14ac:dyDescent="0.35">
      <c r="A2430" t="s">
        <v>25</v>
      </c>
      <c r="B2430" s="33">
        <v>1877000000</v>
      </c>
    </row>
    <row r="2431" spans="1:2" x14ac:dyDescent="0.35">
      <c r="A2431" t="s">
        <v>26</v>
      </c>
      <c r="B2431" s="33">
        <v>2950000000</v>
      </c>
    </row>
    <row r="2432" spans="1:2" x14ac:dyDescent="0.35">
      <c r="A2432" t="s">
        <v>27</v>
      </c>
      <c r="B2432" s="33">
        <v>2517000000</v>
      </c>
    </row>
    <row r="2433" spans="1:2" x14ac:dyDescent="0.35">
      <c r="A2433" t="s">
        <v>28</v>
      </c>
      <c r="B2433" s="34">
        <v>1.74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4BC67-A045-4396-B23E-BDCBC2988C21}">
  <dimension ref="A1:L659"/>
  <sheetViews>
    <sheetView tabSelected="1" workbookViewId="0">
      <selection activeCell="L7" sqref="L7"/>
    </sheetView>
  </sheetViews>
  <sheetFormatPr defaultRowHeight="14.5" x14ac:dyDescent="0.35"/>
  <cols>
    <col min="7" max="7" width="14.453125" customWidth="1"/>
    <col min="11" max="11" width="8.36328125" customWidth="1"/>
    <col min="12" max="12" width="20.7265625" customWidth="1"/>
  </cols>
  <sheetData>
    <row r="1" spans="1:12" x14ac:dyDescent="0.35">
      <c r="A1" t="s">
        <v>30</v>
      </c>
      <c r="B1" t="s">
        <v>57</v>
      </c>
      <c r="C1" t="s">
        <v>53</v>
      </c>
      <c r="D1" t="s">
        <v>54</v>
      </c>
      <c r="E1" t="s">
        <v>55</v>
      </c>
      <c r="F1" t="s">
        <v>56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</row>
    <row r="2" spans="1:12" x14ac:dyDescent="0.35">
      <c r="A2" t="s">
        <v>58</v>
      </c>
      <c r="B2">
        <v>732717</v>
      </c>
      <c r="C2" t="s">
        <v>59</v>
      </c>
      <c r="D2">
        <v>2025</v>
      </c>
      <c r="E2" t="s">
        <v>60</v>
      </c>
      <c r="F2" s="42">
        <v>45838</v>
      </c>
      <c r="G2">
        <v>61473000000</v>
      </c>
      <c r="H2" t="s">
        <v>35</v>
      </c>
      <c r="I2">
        <v>14090000000</v>
      </c>
      <c r="J2">
        <v>18812000000</v>
      </c>
      <c r="K2">
        <v>39519000000</v>
      </c>
      <c r="L2" t="s">
        <v>35</v>
      </c>
    </row>
    <row r="3" spans="1:12" x14ac:dyDescent="0.35">
      <c r="A3" t="s">
        <v>61</v>
      </c>
      <c r="B3">
        <v>354950</v>
      </c>
      <c r="C3" t="s">
        <v>59</v>
      </c>
      <c r="D3">
        <v>2010</v>
      </c>
      <c r="E3" t="s">
        <v>62</v>
      </c>
      <c r="F3" s="42">
        <v>40482</v>
      </c>
      <c r="G3">
        <v>52871000000</v>
      </c>
      <c r="H3">
        <v>28584000000</v>
      </c>
      <c r="I3">
        <v>15294000000</v>
      </c>
      <c r="J3">
        <v>8968000000</v>
      </c>
      <c r="K3">
        <v>12912000000</v>
      </c>
      <c r="L3">
        <v>54.06</v>
      </c>
    </row>
    <row r="4" spans="1:12" x14ac:dyDescent="0.35">
      <c r="A4" t="s">
        <v>63</v>
      </c>
      <c r="B4">
        <v>1318605</v>
      </c>
      <c r="C4" t="s">
        <v>59</v>
      </c>
      <c r="D4">
        <v>2025</v>
      </c>
      <c r="E4" t="s">
        <v>60</v>
      </c>
      <c r="F4" s="42">
        <v>45838</v>
      </c>
      <c r="G4">
        <v>41831000000</v>
      </c>
      <c r="H4">
        <v>7031000000</v>
      </c>
      <c r="I4">
        <v>2617000000</v>
      </c>
      <c r="J4">
        <v>4696000000</v>
      </c>
      <c r="K4">
        <v>4622000000</v>
      </c>
      <c r="L4">
        <v>16.809999999999999</v>
      </c>
    </row>
    <row r="5" spans="1:12" x14ac:dyDescent="0.35">
      <c r="A5" t="s">
        <v>64</v>
      </c>
      <c r="B5">
        <v>936468</v>
      </c>
      <c r="C5" t="s">
        <v>59</v>
      </c>
      <c r="D5">
        <v>2025</v>
      </c>
      <c r="E5" t="s">
        <v>60</v>
      </c>
      <c r="F5" s="42">
        <v>45837</v>
      </c>
      <c r="G5">
        <v>36118000000</v>
      </c>
      <c r="H5">
        <v>3057000000</v>
      </c>
      <c r="I5" t="s">
        <v>35</v>
      </c>
      <c r="J5">
        <v>1610000000</v>
      </c>
      <c r="K5">
        <v>3922000000</v>
      </c>
      <c r="L5">
        <v>8.4600000000000009</v>
      </c>
    </row>
    <row r="6" spans="1:12" x14ac:dyDescent="0.35">
      <c r="A6" t="s">
        <v>65</v>
      </c>
      <c r="B6">
        <v>1045810</v>
      </c>
      <c r="C6" t="s">
        <v>59</v>
      </c>
      <c r="D6">
        <v>2026</v>
      </c>
      <c r="E6" t="s">
        <v>60</v>
      </c>
      <c r="F6" s="42">
        <v>45865</v>
      </c>
      <c r="G6">
        <v>90805000000</v>
      </c>
      <c r="H6">
        <v>60521000000</v>
      </c>
      <c r="I6">
        <v>2163000000</v>
      </c>
      <c r="J6">
        <v>42779000000</v>
      </c>
      <c r="K6">
        <v>54724000000</v>
      </c>
      <c r="L6">
        <v>66.650000000000006</v>
      </c>
    </row>
    <row r="7" spans="1:12" x14ac:dyDescent="0.35">
      <c r="A7" t="s">
        <v>66</v>
      </c>
      <c r="B7">
        <v>320187</v>
      </c>
      <c r="C7" t="s">
        <v>59</v>
      </c>
      <c r="D7">
        <v>2019</v>
      </c>
      <c r="E7" t="s">
        <v>60</v>
      </c>
      <c r="F7" s="42">
        <v>43434</v>
      </c>
      <c r="G7">
        <v>19322000000</v>
      </c>
      <c r="H7">
        <v>19790000000</v>
      </c>
      <c r="I7">
        <v>16088000000</v>
      </c>
      <c r="J7">
        <v>3698000000</v>
      </c>
      <c r="K7" t="s">
        <v>35</v>
      </c>
      <c r="L7">
        <v>102.42</v>
      </c>
    </row>
    <row r="8" spans="1:12" x14ac:dyDescent="0.35">
      <c r="A8" t="s">
        <v>67</v>
      </c>
      <c r="B8">
        <v>320193</v>
      </c>
      <c r="C8" t="s">
        <v>68</v>
      </c>
      <c r="D8">
        <v>2018</v>
      </c>
      <c r="E8" t="s">
        <v>54</v>
      </c>
      <c r="F8" s="42">
        <v>43372</v>
      </c>
      <c r="G8">
        <v>265595000000</v>
      </c>
      <c r="H8">
        <v>146860000000</v>
      </c>
      <c r="I8">
        <v>20553000000</v>
      </c>
      <c r="J8">
        <v>81754000000</v>
      </c>
      <c r="K8">
        <v>113258000000</v>
      </c>
      <c r="L8">
        <v>55.29</v>
      </c>
    </row>
    <row r="9" spans="1:12" x14ac:dyDescent="0.35">
      <c r="A9" t="s">
        <v>69</v>
      </c>
      <c r="B9">
        <v>789019</v>
      </c>
      <c r="C9" t="s">
        <v>59</v>
      </c>
      <c r="D9">
        <v>2011</v>
      </c>
      <c r="E9" t="s">
        <v>60</v>
      </c>
      <c r="F9" s="42">
        <v>40543</v>
      </c>
      <c r="G9">
        <v>36148000000</v>
      </c>
      <c r="H9">
        <v>193893000000</v>
      </c>
      <c r="I9" t="s">
        <v>35</v>
      </c>
      <c r="J9">
        <v>136162000000</v>
      </c>
      <c r="K9">
        <v>154562000000</v>
      </c>
      <c r="L9">
        <v>536.39</v>
      </c>
    </row>
    <row r="10" spans="1:12" x14ac:dyDescent="0.35">
      <c r="A10" t="s">
        <v>70</v>
      </c>
      <c r="B10">
        <v>104169</v>
      </c>
      <c r="C10" t="s">
        <v>59</v>
      </c>
      <c r="D10">
        <v>2026</v>
      </c>
      <c r="E10" t="s">
        <v>60</v>
      </c>
      <c r="F10" s="42">
        <v>45869</v>
      </c>
      <c r="G10">
        <v>343011000000</v>
      </c>
      <c r="H10" t="s">
        <v>35</v>
      </c>
      <c r="I10">
        <v>71516000000</v>
      </c>
      <c r="J10">
        <v>18352000000</v>
      </c>
      <c r="K10" t="s">
        <v>35</v>
      </c>
      <c r="L10" t="s">
        <v>35</v>
      </c>
    </row>
    <row r="11" spans="1:12" x14ac:dyDescent="0.35">
      <c r="A11" t="s">
        <v>71</v>
      </c>
      <c r="B11">
        <v>815097</v>
      </c>
      <c r="C11" t="s">
        <v>68</v>
      </c>
      <c r="D11">
        <v>2018</v>
      </c>
      <c r="E11" t="s">
        <v>54</v>
      </c>
      <c r="F11" s="42">
        <v>43434</v>
      </c>
      <c r="G11">
        <v>18881000000</v>
      </c>
      <c r="H11" t="s">
        <v>35</v>
      </c>
      <c r="I11">
        <v>1663000000</v>
      </c>
      <c r="J11">
        <v>3317000000</v>
      </c>
      <c r="K11">
        <v>2330000000</v>
      </c>
      <c r="L11" t="s">
        <v>35</v>
      </c>
    </row>
    <row r="12" spans="1:12" x14ac:dyDescent="0.35">
      <c r="A12" t="s">
        <v>72</v>
      </c>
      <c r="B12">
        <v>21344</v>
      </c>
      <c r="C12" t="s">
        <v>59</v>
      </c>
      <c r="D12">
        <v>2025</v>
      </c>
      <c r="E12" t="s">
        <v>60</v>
      </c>
      <c r="F12" s="42">
        <v>45835</v>
      </c>
      <c r="G12">
        <v>23664000000</v>
      </c>
      <c r="H12">
        <v>14787000000</v>
      </c>
      <c r="I12">
        <v>6704000000</v>
      </c>
      <c r="J12">
        <v>-1391000000</v>
      </c>
      <c r="K12">
        <v>10778000000</v>
      </c>
      <c r="L12">
        <v>62.49</v>
      </c>
    </row>
    <row r="13" spans="1:12" x14ac:dyDescent="0.35">
      <c r="A13" t="s">
        <v>73</v>
      </c>
      <c r="B13">
        <v>18230</v>
      </c>
      <c r="C13" t="s">
        <v>59</v>
      </c>
      <c r="D13">
        <v>2025</v>
      </c>
      <c r="E13" t="s">
        <v>60</v>
      </c>
      <c r="F13" s="42">
        <v>45838</v>
      </c>
      <c r="G13">
        <v>30818000000</v>
      </c>
      <c r="H13">
        <v>2786000000</v>
      </c>
      <c r="I13">
        <v>3287000000</v>
      </c>
      <c r="J13">
        <v>4411000000</v>
      </c>
      <c r="K13" t="s">
        <v>35</v>
      </c>
      <c r="L13">
        <v>9.0399999999999991</v>
      </c>
    </row>
    <row r="14" spans="1:12" x14ac:dyDescent="0.35">
      <c r="A14" t="s">
        <v>74</v>
      </c>
      <c r="B14">
        <v>51143</v>
      </c>
      <c r="C14" t="s">
        <v>59</v>
      </c>
      <c r="D14">
        <v>2025</v>
      </c>
      <c r="E14" t="s">
        <v>60</v>
      </c>
      <c r="F14" s="42">
        <v>45838</v>
      </c>
      <c r="G14">
        <v>31519000000</v>
      </c>
      <c r="H14">
        <v>18008000000</v>
      </c>
      <c r="I14">
        <v>9913000000</v>
      </c>
      <c r="J14">
        <v>6071000000</v>
      </c>
      <c r="K14">
        <v>7163000000</v>
      </c>
      <c r="L14">
        <v>57.13</v>
      </c>
    </row>
    <row r="15" spans="1:12" x14ac:dyDescent="0.35">
      <c r="A15" t="s">
        <v>75</v>
      </c>
      <c r="B15">
        <v>66740</v>
      </c>
      <c r="C15" t="s">
        <v>59</v>
      </c>
      <c r="D15">
        <v>2025</v>
      </c>
      <c r="E15" t="s">
        <v>60</v>
      </c>
      <c r="F15" s="42">
        <v>45838</v>
      </c>
      <c r="G15">
        <v>12298000000</v>
      </c>
      <c r="H15" t="s">
        <v>35</v>
      </c>
      <c r="I15">
        <v>2212000000</v>
      </c>
      <c r="J15">
        <v>-1033000000</v>
      </c>
      <c r="K15">
        <v>4221000000</v>
      </c>
      <c r="L15" t="s">
        <v>35</v>
      </c>
    </row>
    <row r="16" spans="1:12" x14ac:dyDescent="0.35">
      <c r="A16" t="s">
        <v>76</v>
      </c>
      <c r="B16">
        <v>1467858</v>
      </c>
      <c r="C16" t="s">
        <v>59</v>
      </c>
      <c r="D16">
        <v>2025</v>
      </c>
      <c r="E16" t="s">
        <v>60</v>
      </c>
      <c r="F16" s="42">
        <v>45838</v>
      </c>
      <c r="G16">
        <v>91141000000</v>
      </c>
      <c r="H16">
        <v>-3135000000</v>
      </c>
      <c r="I16">
        <v>8554000000</v>
      </c>
      <c r="J16">
        <v>12969000000</v>
      </c>
      <c r="K16">
        <v>12546000000</v>
      </c>
      <c r="L16">
        <v>-3.44</v>
      </c>
    </row>
    <row r="17" spans="1:12" x14ac:dyDescent="0.35">
      <c r="A17" t="s">
        <v>77</v>
      </c>
      <c r="B17">
        <v>2488</v>
      </c>
      <c r="C17" t="s">
        <v>59</v>
      </c>
      <c r="D17">
        <v>2018</v>
      </c>
      <c r="E17" t="s">
        <v>62</v>
      </c>
      <c r="F17" s="42">
        <v>43008</v>
      </c>
      <c r="G17">
        <v>3913000000</v>
      </c>
      <c r="H17">
        <v>6795000000</v>
      </c>
      <c r="I17">
        <v>1877000000</v>
      </c>
      <c r="J17">
        <v>2950000000</v>
      </c>
      <c r="K17">
        <v>2517000000</v>
      </c>
      <c r="L17">
        <v>173.65</v>
      </c>
    </row>
    <row r="130" spans="1:2" x14ac:dyDescent="0.35">
      <c r="A130" t="s">
        <v>23</v>
      </c>
      <c r="B130" s="33">
        <v>3913000000</v>
      </c>
    </row>
    <row r="131" spans="1:2" x14ac:dyDescent="0.35">
      <c r="A131" t="s">
        <v>24</v>
      </c>
      <c r="B131" s="33">
        <v>6795000000</v>
      </c>
    </row>
    <row r="132" spans="1:2" x14ac:dyDescent="0.35">
      <c r="A132" t="s">
        <v>25</v>
      </c>
      <c r="B132" s="33">
        <v>1877000000</v>
      </c>
    </row>
    <row r="133" spans="1:2" x14ac:dyDescent="0.35">
      <c r="A133" t="s">
        <v>26</v>
      </c>
      <c r="B133" s="33">
        <v>2950000000</v>
      </c>
    </row>
    <row r="134" spans="1:2" x14ac:dyDescent="0.35">
      <c r="A134" t="s">
        <v>27</v>
      </c>
      <c r="B134" s="33">
        <v>2517000000</v>
      </c>
    </row>
    <row r="135" spans="1:2" x14ac:dyDescent="0.35">
      <c r="A135" t="s">
        <v>28</v>
      </c>
      <c r="B135" s="34">
        <v>1.74</v>
      </c>
    </row>
    <row r="654" spans="1:2" x14ac:dyDescent="0.35">
      <c r="A654" t="s">
        <v>23</v>
      </c>
      <c r="B654" s="33">
        <v>3913000000</v>
      </c>
    </row>
    <row r="655" spans="1:2" x14ac:dyDescent="0.35">
      <c r="A655" t="s">
        <v>24</v>
      </c>
      <c r="B655" s="33">
        <v>6795000000</v>
      </c>
    </row>
    <row r="656" spans="1:2" x14ac:dyDescent="0.35">
      <c r="A656" t="s">
        <v>25</v>
      </c>
      <c r="B656" s="33">
        <v>1877000000</v>
      </c>
    </row>
    <row r="657" spans="1:2" x14ac:dyDescent="0.35">
      <c r="A657" t="s">
        <v>26</v>
      </c>
      <c r="B657" s="33">
        <v>2950000000</v>
      </c>
    </row>
    <row r="658" spans="1:2" x14ac:dyDescent="0.35">
      <c r="A658" t="s">
        <v>27</v>
      </c>
      <c r="B658" s="33">
        <v>2517000000</v>
      </c>
    </row>
    <row r="659" spans="1:2" x14ac:dyDescent="0.35">
      <c r="A659" t="s">
        <v>28</v>
      </c>
      <c r="B659" s="34">
        <v>1.74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CC0D62-10DE-4570-9CB5-B06DEC2765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Summary</vt:lpstr>
      <vt:lpstr>Data</vt:lpstr>
      <vt:lpstr>PowerBI_Data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Hasan</dc:creator>
  <cp:lastModifiedBy>Sammy Hasan</cp:lastModifiedBy>
  <dcterms:created xsi:type="dcterms:W3CDTF">2025-03-26T15:34:01Z</dcterms:created>
  <dcterms:modified xsi:type="dcterms:W3CDTF">2025-09-10T01:19:21Z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