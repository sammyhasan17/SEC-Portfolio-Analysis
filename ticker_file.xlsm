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4894b64a5cffbf6/Documents/GitHub/SEC-to-EXCEL/"/>
    </mc:Choice>
  </mc:AlternateContent>
  <xr:revisionPtr revIDLastSave="1746" documentId="13_ncr:1_{843A4349-3C06-475A-8CAF-83D2BD96C165}" xr6:coauthVersionLast="47" xr6:coauthVersionMax="47" xr10:uidLastSave="{66080E37-28D2-416E-9459-B520E0659FF6}"/>
  <bookViews>
    <workbookView xWindow="38295" yWindow="-2175" windowWidth="14610" windowHeight="16305" activeTab="2" xr2:uid="{96B6AE06-DB7D-4811-B2DB-8FB3589E78C3}"/>
  </bookViews>
  <sheets>
    <sheet name="Sheet3" sheetId="3" r:id="rId1"/>
    <sheet name="Summary" sheetId="5" r:id="rId2"/>
    <sheet name="Data" sheetId="4" r:id="rId3"/>
  </sheets>
  <definedNames>
    <definedName name="_xleta.PY" hidden="1" xlm="1">#NAME?</definedName>
    <definedName name="ID" localSheetId="2" hidden="1">"b0b3ce8e-d1bb-4d93-9d0a-8eef0af793c4"</definedName>
    <definedName name="ID" localSheetId="0" hidden="1">"5a618dbe-4d3c-4ec3-a920-b0f1febdb2bf"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3" l="1"/>
  <c r="K39" i="3" s="1"/>
  <c r="I47" i="3"/>
  <c r="H47" i="3"/>
  <c r="K47" i="3" s="1"/>
  <c r="C47" i="3"/>
  <c r="B47" i="3"/>
  <c r="E47" i="3" s="1"/>
  <c r="I44" i="3"/>
  <c r="H44" i="3"/>
  <c r="K44" i="3" s="1"/>
  <c r="C44" i="3"/>
  <c r="B44" i="3"/>
  <c r="E44" i="3" s="1"/>
  <c r="I43" i="3"/>
  <c r="H43" i="3"/>
  <c r="K43" i="3" s="1"/>
  <c r="C43" i="3"/>
  <c r="E43" i="3" s="1"/>
  <c r="B43" i="3"/>
  <c r="I42" i="3"/>
  <c r="H42" i="3"/>
  <c r="K42" i="3" s="1"/>
  <c r="C42" i="3"/>
  <c r="B42" i="3"/>
  <c r="K41" i="3"/>
  <c r="I41" i="3"/>
  <c r="H41" i="3"/>
  <c r="C41" i="3"/>
  <c r="B41" i="3"/>
  <c r="E41" i="3" s="1"/>
  <c r="I40" i="3"/>
  <c r="H40" i="3"/>
  <c r="K40" i="3" s="1"/>
  <c r="C40" i="3"/>
  <c r="B40" i="3"/>
  <c r="E40" i="3" s="1"/>
  <c r="I39" i="3"/>
  <c r="C39" i="3"/>
  <c r="E39" i="3" s="1"/>
  <c r="B39" i="3"/>
  <c r="I38" i="3"/>
  <c r="H38" i="3"/>
  <c r="K38" i="3" s="1"/>
  <c r="C38" i="3"/>
  <c r="B38" i="3"/>
  <c r="E38" i="3" s="1"/>
  <c r="K37" i="3"/>
  <c r="I37" i="3"/>
  <c r="H37" i="3"/>
  <c r="C37" i="3"/>
  <c r="B37" i="3"/>
  <c r="E37" i="3" s="1"/>
  <c r="J33" i="3"/>
  <c r="K33" i="3" s="1"/>
  <c r="E33" i="3"/>
  <c r="D33" i="3"/>
  <c r="I31" i="3"/>
  <c r="H31" i="3"/>
  <c r="D31" i="3"/>
  <c r="C31" i="3"/>
  <c r="C45" i="3" s="1"/>
  <c r="B31" i="3"/>
  <c r="J30" i="3"/>
  <c r="K30" i="3" s="1"/>
  <c r="D30" i="3"/>
  <c r="E30" i="3" s="1"/>
  <c r="J29" i="3"/>
  <c r="K29" i="3" s="1"/>
  <c r="E29" i="3"/>
  <c r="D29" i="3"/>
  <c r="J28" i="3"/>
  <c r="K28" i="3" s="1"/>
  <c r="D28" i="3"/>
  <c r="E28" i="3" s="1"/>
  <c r="J27" i="3"/>
  <c r="J31" i="3" s="1"/>
  <c r="K31" i="3" s="1"/>
  <c r="E27" i="3"/>
  <c r="D27" i="3"/>
  <c r="J26" i="3"/>
  <c r="K26" i="3" s="1"/>
  <c r="D26" i="3"/>
  <c r="E26" i="3" s="1"/>
  <c r="J25" i="3"/>
  <c r="K25" i="3" s="1"/>
  <c r="D25" i="3"/>
  <c r="E25" i="3" s="1"/>
  <c r="J24" i="3"/>
  <c r="K24" i="3" s="1"/>
  <c r="D24" i="3"/>
  <c r="E24" i="3" s="1"/>
  <c r="J23" i="3"/>
  <c r="K23" i="3" s="1"/>
  <c r="E23" i="3"/>
  <c r="D23" i="3"/>
  <c r="J19" i="3"/>
  <c r="K19" i="3" s="1"/>
  <c r="D19" i="3"/>
  <c r="E19" i="3" s="1"/>
  <c r="I17" i="3"/>
  <c r="H17" i="3"/>
  <c r="C17" i="3"/>
  <c r="B17" i="3"/>
  <c r="B45" i="3" s="1"/>
  <c r="J16" i="3"/>
  <c r="K16" i="3" s="1"/>
  <c r="D16" i="3"/>
  <c r="E16" i="3" s="1"/>
  <c r="J15" i="3"/>
  <c r="K15" i="3" s="1"/>
  <c r="D15" i="3"/>
  <c r="E15" i="3" s="1"/>
  <c r="J14" i="3"/>
  <c r="K14" i="3" s="1"/>
  <c r="D14" i="3"/>
  <c r="E14" i="3" s="1"/>
  <c r="J13" i="3"/>
  <c r="K13" i="3" s="1"/>
  <c r="D13" i="3"/>
  <c r="J12" i="3"/>
  <c r="K12" i="3" s="1"/>
  <c r="E12" i="3"/>
  <c r="D12" i="3"/>
  <c r="J11" i="3"/>
  <c r="K11" i="3" s="1"/>
  <c r="D11" i="3"/>
  <c r="E11" i="3" s="1"/>
  <c r="J10" i="3"/>
  <c r="K10" i="3" s="1"/>
  <c r="D10" i="3"/>
  <c r="E10" i="3" s="1"/>
  <c r="J9" i="3"/>
  <c r="K9" i="3" s="1"/>
  <c r="D9" i="3"/>
  <c r="E9" i="3" s="1"/>
  <c r="E31" i="3" l="1"/>
  <c r="H45" i="3"/>
  <c r="I45" i="3"/>
  <c r="E45" i="3"/>
  <c r="D17" i="3"/>
  <c r="E17" i="3" s="1"/>
  <c r="E42" i="3"/>
  <c r="J17" i="3"/>
  <c r="K17" i="3" s="1"/>
  <c r="K27" i="3"/>
  <c r="E13" i="3"/>
  <c r="K45" i="3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<sst xmlns="http://schemas.openxmlformats.org/spreadsheetml/2006/main" count="184" uniqueCount="46">
  <si>
    <t>Jacuzzi Group</t>
  </si>
  <si>
    <t>USD in Millions</t>
  </si>
  <si>
    <t>Q4 Net Sales</t>
  </si>
  <si>
    <t>$ +/-</t>
  </si>
  <si>
    <t>% +/-</t>
  </si>
  <si>
    <t>2024 Net Sales</t>
  </si>
  <si>
    <t>Pool Corp</t>
  </si>
  <si>
    <t>AO Smith</t>
  </si>
  <si>
    <t>Fluidra</t>
  </si>
  <si>
    <t>Watts Water Group</t>
  </si>
  <si>
    <t>Leslie's</t>
  </si>
  <si>
    <r>
      <t>Pentair</t>
    </r>
    <r>
      <rPr>
        <vertAlign val="superscript"/>
        <sz val="11"/>
        <color theme="1"/>
        <rFont val="Aptos Narrow"/>
        <family val="2"/>
        <scheme val="minor"/>
      </rPr>
      <t>1</t>
    </r>
  </si>
  <si>
    <t>Hayward Holdings</t>
  </si>
  <si>
    <t>Latham Group</t>
  </si>
  <si>
    <t>Total Peer Group</t>
  </si>
  <si>
    <t>Q4 ADJ. EBITDA</t>
  </si>
  <si>
    <t>2024 ADJ. EBITDA</t>
  </si>
  <si>
    <t>Q4 ADJ. EBITDA %</t>
  </si>
  <si>
    <t>2024 ADJ. EBITDA %</t>
  </si>
  <si>
    <t>n.a.</t>
  </si>
  <si>
    <r>
      <rPr>
        <i/>
        <vertAlign val="superscript"/>
        <sz val="11"/>
        <color theme="1"/>
        <rFont val="Aptos Narrow"/>
        <family val="2"/>
        <scheme val="minor"/>
      </rPr>
      <t>1</t>
    </r>
    <r>
      <rPr>
        <i/>
        <sz val="11"/>
        <color theme="1"/>
        <rFont val="Aptos Narrow"/>
        <family val="2"/>
        <scheme val="minor"/>
      </rPr>
      <t>Pentair Pool Segment results with allocated Corporate expenses</t>
    </r>
  </si>
  <si>
    <t>Notes</t>
  </si>
  <si>
    <t xml:space="preserve"> Public Company Peer Group Performance</t>
  </si>
  <si>
    <t>Leslie's, Inc. (LESL) | CIK: 0001821806 | 10-Q | FY: 2025 | Period: Q2 | End: 2025-03-29</t>
  </si>
  <si>
    <t>Net Sales</t>
  </si>
  <si>
    <t>Gross Profit</t>
  </si>
  <si>
    <t>SG&amp;A</t>
  </si>
  <si>
    <t>Net Cashflow from Operations</t>
  </si>
  <si>
    <t>Estimated EBITDA</t>
  </si>
  <si>
    <t>Gross Margin (%)</t>
  </si>
  <si>
    <t>Take data from cells to create other charts and tables rather then out of python/SEC API since its easier and code is already running decently. I want to have net sales side by side..</t>
  </si>
  <si>
    <t>Company</t>
  </si>
  <si>
    <t>Net Cashflow from Ops</t>
  </si>
  <si>
    <t>Pentair</t>
  </si>
  <si>
    <t>Smith AO Corp</t>
  </si>
  <si>
    <t>Watts Water Tech</t>
  </si>
  <si>
    <t>Leslie's Inc.</t>
  </si>
  <si>
    <t>This process must be part of each update Note: each period this is being pulled from may be different</t>
  </si>
  <si>
    <t>Most efficent company</t>
  </si>
  <si>
    <t>PENTAIR plc (PNR) | CIK: 0000077360 | 10-Q | FY: 2025 | Period: Q1 | End: 2025-03-31</t>
  </si>
  <si>
    <t>POOL CORP (POOL) | CIK: 0000945841 | 10-Q | FY: 2025 | Period: Q1 | End: 2025-03-31</t>
  </si>
  <si>
    <t>SMITH A O CORP (AOS) | CIK: 0000091142 | 10-Q | FY: 2025 | Period: Q2 | End: 2025-06-30</t>
  </si>
  <si>
    <t>WATTS WATER TECHNOLOGIES INC (WTS) | CIK: 0000795403 | 10-Q | FY: 2018 | Period: Q3 | End: 2018-09-30</t>
  </si>
  <si>
    <t>Hayward Holdings, Inc. (HAYW) | CIK: 0001834622 | 10-Q | FY: 2025 | Period: Q1 | End: 2025-03-29</t>
  </si>
  <si>
    <t>Latham Group, Inc. (SWIM) | CIK: 0001833197 | 10-Q | FY: 2025 | Period: Q1 | End: 2025-03-29</t>
  </si>
  <si>
    <t>Leslie's, Inc. (LESL)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</si>
</sst>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3" formatCode="_(* #,##0.00_);_(* \(#,##0.00\);_(* &quot;-&quot;??_);_(@_)"/>
    <numFmt numFmtId="164" formatCode="&quot;$&quot;#,##0.0"/>
    <numFmt numFmtId="165" formatCode="0.0%"/>
    <numFmt numFmtId="166" formatCode="#,##0&quot; bps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i/>
      <vertAlign val="superscript"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5" fillId="0" borderId="0" xfId="0" applyFont="1"/>
    <xf numFmtId="0" fontId="6" fillId="3" borderId="1" xfId="0" applyFont="1" applyFill="1" applyBorder="1"/>
    <xf numFmtId="0" fontId="0" fillId="3" borderId="1" xfId="0" applyFill="1" applyBorder="1"/>
    <xf numFmtId="0" fontId="7" fillId="0" borderId="0" xfId="0" applyFont="1"/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164" fontId="0" fillId="2" borderId="4" xfId="0" applyNumberFormat="1" applyFill="1" applyBorder="1"/>
    <xf numFmtId="164" fontId="0" fillId="0" borderId="0" xfId="0" applyNumberFormat="1"/>
    <xf numFmtId="165" fontId="7" fillId="0" borderId="0" xfId="2" applyNumberFormat="1" applyFont="1"/>
    <xf numFmtId="0" fontId="8" fillId="0" borderId="0" xfId="0" applyFont="1"/>
    <xf numFmtId="0" fontId="1" fillId="3" borderId="2" xfId="0" applyFont="1" applyFill="1" applyBorder="1"/>
    <xf numFmtId="164" fontId="1" fillId="3" borderId="5" xfId="0" applyNumberFormat="1" applyFont="1" applyFill="1" applyBorder="1"/>
    <xf numFmtId="164" fontId="1" fillId="3" borderId="2" xfId="0" applyNumberFormat="1" applyFont="1" applyFill="1" applyBorder="1"/>
    <xf numFmtId="165" fontId="9" fillId="3" borderId="2" xfId="2" applyNumberFormat="1" applyFont="1" applyFill="1" applyBorder="1"/>
    <xf numFmtId="164" fontId="1" fillId="2" borderId="5" xfId="0" applyNumberFormat="1" applyFont="1" applyFill="1" applyBorder="1"/>
    <xf numFmtId="164" fontId="1" fillId="2" borderId="2" xfId="0" applyNumberFormat="1" applyFont="1" applyFill="1" applyBorder="1"/>
    <xf numFmtId="0" fontId="4" fillId="4" borderId="5" xfId="0" applyFont="1" applyFill="1" applyBorder="1" applyAlignment="1">
      <alignment horizontal="center"/>
    </xf>
    <xf numFmtId="165" fontId="7" fillId="2" borderId="4" xfId="2" applyNumberFormat="1" applyFont="1" applyFill="1" applyBorder="1"/>
    <xf numFmtId="165" fontId="7" fillId="2" borderId="0" xfId="2" applyNumberFormat="1" applyFont="1" applyFill="1"/>
    <xf numFmtId="164" fontId="0" fillId="3" borderId="0" xfId="0" applyNumberFormat="1" applyFill="1" applyAlignment="1">
      <alignment horizontal="right"/>
    </xf>
    <xf numFmtId="166" fontId="0" fillId="0" borderId="0" xfId="1" applyNumberFormat="1" applyFont="1"/>
    <xf numFmtId="165" fontId="9" fillId="3" borderId="5" xfId="2" applyNumberFormat="1" applyFont="1" applyFill="1" applyBorder="1"/>
    <xf numFmtId="164" fontId="1" fillId="3" borderId="2" xfId="0" applyNumberFormat="1" applyFont="1" applyFill="1" applyBorder="1" applyAlignment="1">
      <alignment horizontal="right"/>
    </xf>
    <xf numFmtId="166" fontId="1" fillId="3" borderId="2" xfId="1" applyNumberFormat="1" applyFont="1" applyFill="1" applyBorder="1"/>
    <xf numFmtId="165" fontId="9" fillId="2" borderId="5" xfId="2" applyNumberFormat="1" applyFont="1" applyFill="1" applyBorder="1"/>
    <xf numFmtId="165" fontId="9" fillId="2" borderId="2" xfId="2" applyNumberFormat="1" applyFont="1" applyFill="1" applyBorder="1"/>
    <xf numFmtId="0" fontId="1" fillId="3" borderId="1" xfId="0" applyFont="1" applyFill="1" applyBorder="1"/>
    <xf numFmtId="0" fontId="10" fillId="0" borderId="0" xfId="0" applyFont="1"/>
    <xf numFmtId="43" fontId="0" fillId="0" borderId="0" xfId="1" applyFont="1"/>
    <xf numFmtId="6" fontId="0" fillId="0" borderId="0" xfId="0" applyNumberFormat="1"/>
    <xf numFmtId="9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6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0" fontId="0" fillId="5" borderId="0" xfId="0" applyFill="1"/>
    <xf numFmtId="0" fontId="1" fillId="0" borderId="0" xfId="0" applyFont="1" applyAlignment="1">
      <alignment vertical="center" wrapText="1"/>
    </xf>
    <xf numFmtId="0" fontId="1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9">
    <dxf>
      <numFmt numFmtId="13" formatCode="0%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microsoft.com/office/2023/09/relationships/Python" Target="python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Data!$K$3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Data!$J$4:$J$10</c:f>
              <c:strCache>
                <c:ptCount val="7"/>
                <c:pt idx="0">
                  <c:v>Pentair</c:v>
                </c:pt>
                <c:pt idx="1">
                  <c:v>Pool Corp</c:v>
                </c:pt>
                <c:pt idx="2">
                  <c:v>Smith AO Corp</c:v>
                </c:pt>
                <c:pt idx="3">
                  <c:v>Watts Water Tech</c:v>
                </c:pt>
                <c:pt idx="4">
                  <c:v>Hayward Holdings</c:v>
                </c:pt>
                <c:pt idx="5">
                  <c:v>Latham Group</c:v>
                </c:pt>
                <c:pt idx="6">
                  <c:v>Leslie's Inc.</c:v>
                </c:pt>
              </c:strCache>
            </c:strRef>
          </c:cat>
          <c:val>
            <c:numRef>
              <c:f>Data!$K$4:$K$10</c:f>
              <c:numCache>
                <c:formatCode>"$"#,##0_);[Red]\("$"#,##0\)</c:formatCode>
                <c:ptCount val="7"/>
                <c:pt idx="0">
                  <c:v>1010400000</c:v>
                </c:pt>
                <c:pt idx="1">
                  <c:v>1071526000</c:v>
                </c:pt>
                <c:pt idx="2">
                  <c:v>963900000</c:v>
                </c:pt>
                <c:pt idx="3">
                  <c:v>1177300000</c:v>
                </c:pt>
                <c:pt idx="4">
                  <c:v>228841000</c:v>
                </c:pt>
                <c:pt idx="5">
                  <c:v>111420000</c:v>
                </c:pt>
                <c:pt idx="6">
                  <c:v>352362000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17-40E9-8F90-F64CEFF49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7403296"/>
        <c:axId val="797400416"/>
      </c:barChart>
      <c:catAx>
        <c:axId val="79740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00416"/>
        <c:crosses val="autoZero"/>
        <c:auto val="1"/>
        <c:lblAlgn val="ctr"/>
        <c:lblOffset val="100"/>
        <c:noMultiLvlLbl val="0"/>
      </c:catAx>
      <c:valAx>
        <c:axId val="79740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0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Data!$P$3</c:f>
              <c:strCache>
                <c:ptCount val="1"/>
                <c:pt idx="0">
                  <c:v>Gross Margin 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Data!$J$4:$J$10</c:f>
              <c:strCache>
                <c:ptCount val="7"/>
                <c:pt idx="0">
                  <c:v>Pentair</c:v>
                </c:pt>
                <c:pt idx="1">
                  <c:v>Pool Corp</c:v>
                </c:pt>
                <c:pt idx="2">
                  <c:v>Smith AO Corp</c:v>
                </c:pt>
                <c:pt idx="3">
                  <c:v>Watts Water Tech</c:v>
                </c:pt>
                <c:pt idx="4">
                  <c:v>Hayward Holdings</c:v>
                </c:pt>
                <c:pt idx="5">
                  <c:v>Latham Group</c:v>
                </c:pt>
                <c:pt idx="6">
                  <c:v>Leslie's Inc.</c:v>
                </c:pt>
              </c:strCache>
            </c:strRef>
          </c:cat>
          <c:val>
            <c:numRef>
              <c:f>Data!$P$4:$P$10</c:f>
              <c:numCache>
                <c:formatCode>0%</c:formatCode>
                <c:ptCount val="7"/>
                <c:pt idx="0">
                  <c:v>0.4</c:v>
                </c:pt>
                <c:pt idx="1">
                  <c:v>0.28999999999999998</c:v>
                </c:pt>
                <c:pt idx="2">
                  <c:v>0.39</c:v>
                </c:pt>
                <c:pt idx="3">
                  <c:v>0.23</c:v>
                </c:pt>
                <c:pt idx="4">
                  <c:v>0.5</c:v>
                </c:pt>
                <c:pt idx="5">
                  <c:v>0.3</c:v>
                </c:pt>
                <c:pt idx="6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2-4CC2-B8A3-4FB861362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779840"/>
        <c:axId val="802780320"/>
      </c:barChart>
      <c:catAx>
        <c:axId val="80277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780320"/>
        <c:crosses val="autoZero"/>
        <c:auto val="1"/>
        <c:lblAlgn val="ctr"/>
        <c:lblOffset val="100"/>
        <c:noMultiLvlLbl val="0"/>
      </c:catAx>
      <c:valAx>
        <c:axId val="80278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77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1181100</xdr:colOff>
          <xdr:row>3</xdr:row>
          <xdr:rowOff>349250</xdr:rowOff>
        </xdr:from>
        <xdr:to>
          <xdr:col>13</xdr:col>
          <xdr:colOff>355600</xdr:colOff>
          <xdr:row>8</xdr:row>
          <xdr:rowOff>82550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Get Newest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337457</xdr:colOff>
      <xdr:row>13</xdr:row>
      <xdr:rowOff>157843</xdr:rowOff>
    </xdr:from>
    <xdr:to>
      <xdr:col>11</xdr:col>
      <xdr:colOff>1328057</xdr:colOff>
      <xdr:row>28</xdr:row>
      <xdr:rowOff>125185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32E158D-22BE-8C90-EB64-6EFFF0843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664029</xdr:colOff>
      <xdr:row>13</xdr:row>
      <xdr:rowOff>81643</xdr:rowOff>
    </xdr:from>
    <xdr:to>
      <xdr:col>16</xdr:col>
      <xdr:colOff>381000</xdr:colOff>
      <xdr:row>28</xdr:row>
      <xdr:rowOff>48985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1FE18D1-FBED-3AC4-2E84-0013761A8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D0604F-3888-4E73-8CB1-B79300657C3E}" name="CompanyData" displayName="CompanyData" ref="J3:P10" totalsRowShown="0" headerRowDxfId="8" dataDxfId="7">
  <autoFilter ref="J3:P10" xr:uid="{13D0604F-3888-4E73-8CB1-B79300657C3E}"/>
  <tableColumns count="7">
    <tableColumn id="1" xr3:uid="{E70DE6B4-0EB8-45C3-9392-EA36D6290C8E}" name="Company" dataDxfId="6"/>
    <tableColumn id="2" xr3:uid="{B282E0AF-4C75-4B45-A607-7C8461C8C2B1}" name="Net Sales" dataDxfId="5"/>
    <tableColumn id="3" xr3:uid="{32BF625A-5671-4ADE-A46D-56AD83CA76DB}" name="Gross Profit" dataDxfId="4"/>
    <tableColumn id="4" xr3:uid="{D29EB289-3BD9-467E-835B-0D1420BCA309}" name="SG&amp;A" dataDxfId="3"/>
    <tableColumn id="5" xr3:uid="{3DFB9CD9-D6CE-41D5-BAB9-DFAC2CD1E133}" name="Net Cashflow from Ops" dataDxfId="2"/>
    <tableColumn id="6" xr3:uid="{A21BFD23-0329-4DD9-84AE-67C3A7BE9120}" name="Estimated EBITDA" dataDxfId="1"/>
    <tableColumn id="7" xr3:uid="{A58B4783-D5B6-413F-A8C6-E2271F1DA0AA}" name="Gross Margin (%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C12B6-6D71-4A18-B7A4-E78E0867557A}">
  <sheetPr codeName="Sheet3"/>
  <dimension ref="A4:O523"/>
  <sheetViews>
    <sheetView topLeftCell="A20" zoomScale="70" zoomScaleNormal="70" workbookViewId="0">
      <selection activeCell="M12" sqref="M12"/>
    </sheetView>
  </sheetViews>
  <sheetFormatPr defaultColWidth="17.54296875" defaultRowHeight="14.5" x14ac:dyDescent="0.35"/>
  <sheetData>
    <row r="4" spans="1:15" ht="28.5" x14ac:dyDescent="0.65">
      <c r="A4" s="3" t="s">
        <v>0</v>
      </c>
    </row>
    <row r="5" spans="1:15" ht="18.5" x14ac:dyDescent="0.45">
      <c r="A5" s="4" t="s">
        <v>22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5" x14ac:dyDescent="0.35">
      <c r="A6" s="6"/>
    </row>
    <row r="7" spans="1:15" x14ac:dyDescent="0.35">
      <c r="A7" s="6" t="s">
        <v>1</v>
      </c>
      <c r="G7" s="6" t="s">
        <v>1</v>
      </c>
      <c r="O7" s="33"/>
    </row>
    <row r="8" spans="1:15" x14ac:dyDescent="0.35">
      <c r="A8" s="7" t="s">
        <v>2</v>
      </c>
      <c r="B8" s="8">
        <v>2024</v>
      </c>
      <c r="C8" s="9">
        <v>2023</v>
      </c>
      <c r="D8" s="7" t="s">
        <v>3</v>
      </c>
      <c r="E8" s="7" t="s">
        <v>4</v>
      </c>
      <c r="G8" s="9" t="s">
        <v>5</v>
      </c>
      <c r="H8" s="8">
        <v>2024</v>
      </c>
      <c r="I8" s="9">
        <v>2023</v>
      </c>
      <c r="J8" s="9" t="s">
        <v>3</v>
      </c>
      <c r="K8" s="9" t="s">
        <v>4</v>
      </c>
      <c r="O8" s="33"/>
    </row>
    <row r="9" spans="1:15" x14ac:dyDescent="0.35">
      <c r="A9" t="s">
        <v>6</v>
      </c>
      <c r="B9" s="10">
        <v>987</v>
      </c>
      <c r="C9" s="2">
        <v>1003</v>
      </c>
      <c r="D9" s="11">
        <f t="shared" ref="D9:D16" si="0">+B9-C9</f>
        <v>-16</v>
      </c>
      <c r="E9" s="12">
        <f t="shared" ref="E9:E17" si="1">IFERROR(D9/C9,0)</f>
        <v>-1.5952143569292122E-2</v>
      </c>
      <c r="G9" t="s">
        <v>6</v>
      </c>
      <c r="H9" s="10">
        <v>5310</v>
      </c>
      <c r="I9" s="2">
        <v>5541</v>
      </c>
      <c r="J9" s="11">
        <f t="shared" ref="J9:J16" si="2">+H9-I9</f>
        <v>-231</v>
      </c>
      <c r="K9" s="12">
        <f t="shared" ref="K9:K17" si="3">IFERROR(J9/I9,0)</f>
        <v>-4.1689225771521385E-2</v>
      </c>
      <c r="O9" s="33"/>
    </row>
    <row r="10" spans="1:15" x14ac:dyDescent="0.35">
      <c r="A10" t="s">
        <v>7</v>
      </c>
      <c r="B10" s="10">
        <v>912.4</v>
      </c>
      <c r="C10" s="2">
        <v>988.1</v>
      </c>
      <c r="D10" s="11">
        <f t="shared" si="0"/>
        <v>-75.700000000000045</v>
      </c>
      <c r="E10" s="12">
        <f t="shared" si="1"/>
        <v>-7.6611678979860376E-2</v>
      </c>
      <c r="G10" t="s">
        <v>7</v>
      </c>
      <c r="H10" s="10">
        <v>3818</v>
      </c>
      <c r="I10" s="2">
        <v>3853</v>
      </c>
      <c r="J10" s="11">
        <f t="shared" si="2"/>
        <v>-35</v>
      </c>
      <c r="K10" s="12">
        <f t="shared" si="3"/>
        <v>-9.0838307812094472E-3</v>
      </c>
      <c r="O10" s="33"/>
    </row>
    <row r="11" spans="1:15" x14ac:dyDescent="0.35">
      <c r="A11" t="s">
        <v>8</v>
      </c>
      <c r="B11" s="10">
        <v>483.1</v>
      </c>
      <c r="C11" s="2">
        <v>443.6</v>
      </c>
      <c r="D11" s="11">
        <f t="shared" si="0"/>
        <v>39.5</v>
      </c>
      <c r="E11" s="12">
        <f t="shared" si="1"/>
        <v>8.9044183949504058E-2</v>
      </c>
      <c r="G11" t="s">
        <v>8</v>
      </c>
      <c r="H11" s="2">
        <v>2183</v>
      </c>
      <c r="I11" s="10">
        <v>2130.6999999999998</v>
      </c>
      <c r="J11" s="11">
        <f t="shared" si="2"/>
        <v>52.300000000000182</v>
      </c>
      <c r="K11" s="12">
        <f t="shared" si="3"/>
        <v>2.4545923874783021E-2</v>
      </c>
      <c r="M11" s="33"/>
      <c r="O11" s="33"/>
    </row>
    <row r="12" spans="1:15" x14ac:dyDescent="0.35">
      <c r="A12" s="13" t="s">
        <v>9</v>
      </c>
      <c r="B12" s="10">
        <v>540</v>
      </c>
      <c r="C12" s="2">
        <v>548</v>
      </c>
      <c r="D12" s="11">
        <f t="shared" si="0"/>
        <v>-8</v>
      </c>
      <c r="E12" s="12">
        <f t="shared" si="1"/>
        <v>-1.4598540145985401E-2</v>
      </c>
      <c r="G12" t="s">
        <v>9</v>
      </c>
      <c r="H12" s="10">
        <v>2252</v>
      </c>
      <c r="I12" s="2">
        <v>2056</v>
      </c>
      <c r="J12" s="11">
        <f t="shared" si="2"/>
        <v>196</v>
      </c>
      <c r="K12" s="12">
        <f t="shared" si="3"/>
        <v>9.5330739299610889E-2</v>
      </c>
      <c r="O12" s="34"/>
    </row>
    <row r="13" spans="1:15" x14ac:dyDescent="0.35">
      <c r="A13" t="s">
        <v>10</v>
      </c>
      <c r="B13" s="10">
        <v>397.8</v>
      </c>
      <c r="C13" s="2">
        <v>432.4</v>
      </c>
      <c r="D13" s="11">
        <f t="shared" si="0"/>
        <v>-34.599999999999966</v>
      </c>
      <c r="E13" s="12">
        <f t="shared" si="1"/>
        <v>-8.0018501387603996E-2</v>
      </c>
      <c r="G13" t="s">
        <v>10</v>
      </c>
      <c r="H13" s="10">
        <v>1330.1</v>
      </c>
      <c r="I13" s="2">
        <v>1451.2</v>
      </c>
      <c r="J13" s="11">
        <f t="shared" si="2"/>
        <v>-121.10000000000014</v>
      </c>
      <c r="K13" s="12">
        <f t="shared" si="3"/>
        <v>-8.3448180815876613E-2</v>
      </c>
      <c r="N13" s="33"/>
      <c r="O13" s="33"/>
    </row>
    <row r="14" spans="1:15" ht="16.5" x14ac:dyDescent="0.35">
      <c r="A14" t="s">
        <v>11</v>
      </c>
      <c r="B14" s="10">
        <v>972.9</v>
      </c>
      <c r="C14" s="2">
        <v>984.6</v>
      </c>
      <c r="D14" s="11">
        <f t="shared" si="0"/>
        <v>-11.700000000000045</v>
      </c>
      <c r="E14" s="12">
        <f t="shared" si="1"/>
        <v>-1.188299817184648E-2</v>
      </c>
      <c r="G14" t="s">
        <v>11</v>
      </c>
      <c r="H14" s="10">
        <v>4082.8</v>
      </c>
      <c r="I14" s="2">
        <v>4104.5</v>
      </c>
      <c r="J14" s="11">
        <f t="shared" si="2"/>
        <v>-21.699999999999818</v>
      </c>
      <c r="K14" s="12">
        <f t="shared" si="3"/>
        <v>-5.2868802533803921E-3</v>
      </c>
      <c r="N14" s="33"/>
      <c r="O14" s="33"/>
    </row>
    <row r="15" spans="1:15" x14ac:dyDescent="0.35">
      <c r="A15" t="s">
        <v>12</v>
      </c>
      <c r="B15" s="10">
        <v>327.10000000000002</v>
      </c>
      <c r="C15" s="2">
        <v>278.5</v>
      </c>
      <c r="D15" s="11">
        <f t="shared" si="0"/>
        <v>48.600000000000023</v>
      </c>
      <c r="E15" s="12">
        <f t="shared" si="1"/>
        <v>0.17450628366247764</v>
      </c>
      <c r="G15" t="s">
        <v>12</v>
      </c>
      <c r="H15" s="10">
        <v>1051</v>
      </c>
      <c r="I15" s="2">
        <v>992.4</v>
      </c>
      <c r="J15" s="11">
        <f t="shared" si="2"/>
        <v>58.600000000000023</v>
      </c>
      <c r="K15" s="12">
        <f t="shared" si="3"/>
        <v>5.9048770656993176E-2</v>
      </c>
      <c r="N15" s="33"/>
      <c r="O15" s="33"/>
    </row>
    <row r="16" spans="1:15" x14ac:dyDescent="0.35">
      <c r="A16" s="13" t="s">
        <v>13</v>
      </c>
      <c r="B16" s="10">
        <v>87.2</v>
      </c>
      <c r="C16" s="2">
        <v>90.8</v>
      </c>
      <c r="D16" s="11">
        <f t="shared" si="0"/>
        <v>-3.5999999999999943</v>
      </c>
      <c r="E16" s="12">
        <f t="shared" si="1"/>
        <v>-3.9647577092510954E-2</v>
      </c>
      <c r="G16" t="s">
        <v>13</v>
      </c>
      <c r="H16" s="10">
        <v>508</v>
      </c>
      <c r="I16" s="2">
        <v>566</v>
      </c>
      <c r="J16" s="11">
        <f t="shared" si="2"/>
        <v>-58</v>
      </c>
      <c r="K16" s="12">
        <f t="shared" si="3"/>
        <v>-0.10247349823321555</v>
      </c>
      <c r="N16" s="33"/>
      <c r="O16" s="33"/>
    </row>
    <row r="17" spans="1:15" x14ac:dyDescent="0.35">
      <c r="A17" s="14" t="s">
        <v>14</v>
      </c>
      <c r="B17" s="15">
        <f>SUM(B13:B14)</f>
        <v>1370.7</v>
      </c>
      <c r="C17" s="16">
        <f>SUM(C13:C14)</f>
        <v>1417</v>
      </c>
      <c r="D17" s="16">
        <f>SUM(D13:D14)</f>
        <v>-46.300000000000011</v>
      </c>
      <c r="E17" s="17">
        <f t="shared" si="1"/>
        <v>-3.2674664784756537E-2</v>
      </c>
      <c r="G17" s="14" t="s">
        <v>14</v>
      </c>
      <c r="H17" s="15">
        <f>SUM(H13:H14)</f>
        <v>5412.9</v>
      </c>
      <c r="I17" s="16">
        <f>SUM(I13:I14)</f>
        <v>5555.7</v>
      </c>
      <c r="J17" s="16">
        <f>SUM(J13:J14)</f>
        <v>-142.79999999999995</v>
      </c>
      <c r="K17" s="17">
        <f t="shared" si="3"/>
        <v>-2.5703331713375445E-2</v>
      </c>
      <c r="N17" s="33"/>
      <c r="O17" s="33"/>
    </row>
    <row r="18" spans="1:15" x14ac:dyDescent="0.35">
      <c r="N18" s="34"/>
      <c r="O18" s="34"/>
    </row>
    <row r="19" spans="1:15" x14ac:dyDescent="0.35">
      <c r="A19" s="14" t="s">
        <v>0</v>
      </c>
      <c r="B19" s="18">
        <v>203.2</v>
      </c>
      <c r="C19" s="19">
        <v>199.6</v>
      </c>
      <c r="D19" s="16">
        <f>+B19-C19</f>
        <v>3.5999999999999943</v>
      </c>
      <c r="E19" s="17">
        <f>IFERROR(D19/C19,0)</f>
        <v>1.803607214428855E-2</v>
      </c>
      <c r="G19" s="14" t="s">
        <v>0</v>
      </c>
      <c r="H19" s="18">
        <v>752.4</v>
      </c>
      <c r="I19" s="19">
        <v>845.9</v>
      </c>
      <c r="J19" s="16">
        <f>+H19-I19</f>
        <v>-93.5</v>
      </c>
      <c r="K19" s="17">
        <f>IFERROR(J19/I19,0)</f>
        <v>-0.11053315994798441</v>
      </c>
      <c r="O19" s="33"/>
    </row>
    <row r="20" spans="1:15" x14ac:dyDescent="0.35">
      <c r="B20" s="1"/>
      <c r="C20" s="1"/>
      <c r="O20" s="34"/>
    </row>
    <row r="21" spans="1:15" x14ac:dyDescent="0.35">
      <c r="A21" s="6"/>
      <c r="G21" s="6"/>
      <c r="N21" s="33"/>
      <c r="O21" s="33"/>
    </row>
    <row r="22" spans="1:15" x14ac:dyDescent="0.35">
      <c r="A22" s="7" t="s">
        <v>15</v>
      </c>
      <c r="B22" s="20">
        <v>2024</v>
      </c>
      <c r="C22" s="7">
        <v>2023</v>
      </c>
      <c r="D22" s="7" t="s">
        <v>3</v>
      </c>
      <c r="E22" s="7" t="s">
        <v>4</v>
      </c>
      <c r="G22" s="7" t="s">
        <v>16</v>
      </c>
      <c r="H22" s="20">
        <v>2024</v>
      </c>
      <c r="I22" s="7">
        <v>2023</v>
      </c>
      <c r="J22" s="7" t="s">
        <v>3</v>
      </c>
      <c r="K22" s="7" t="s">
        <v>4</v>
      </c>
      <c r="N22" s="33"/>
      <c r="O22" s="33"/>
    </row>
    <row r="23" spans="1:15" x14ac:dyDescent="0.35">
      <c r="A23" t="s">
        <v>6</v>
      </c>
      <c r="B23" s="10">
        <v>170.2</v>
      </c>
      <c r="C23" s="2">
        <v>201.7</v>
      </c>
      <c r="D23" s="11">
        <f t="shared" ref="D23:D30" si="4">+B23-C23</f>
        <v>-31.5</v>
      </c>
      <c r="E23" s="12">
        <f t="shared" ref="E23:E31" si="5">IFERROR(D23/C23,0)</f>
        <v>-0.15617253346554288</v>
      </c>
      <c r="G23" t="s">
        <v>6</v>
      </c>
      <c r="H23" s="10">
        <v>680.9</v>
      </c>
      <c r="I23" s="2">
        <v>806.9</v>
      </c>
      <c r="J23" s="11">
        <f t="shared" ref="J23:J30" si="6">+H23-I23</f>
        <v>-126</v>
      </c>
      <c r="K23" s="12">
        <f t="shared" ref="K23:K31" si="7">IFERROR(J23/I23,0)</f>
        <v>-0.1561531788325691</v>
      </c>
      <c r="N23" s="33"/>
      <c r="O23" s="33"/>
    </row>
    <row r="24" spans="1:15" x14ac:dyDescent="0.35">
      <c r="A24" s="13" t="s">
        <v>7</v>
      </c>
      <c r="B24" s="10">
        <v>165.1</v>
      </c>
      <c r="C24" s="2">
        <v>196.9</v>
      </c>
      <c r="D24" s="11">
        <f t="shared" si="4"/>
        <v>-31.800000000000011</v>
      </c>
      <c r="E24" s="12">
        <f t="shared" si="5"/>
        <v>-0.16150330116810568</v>
      </c>
      <c r="G24" t="s">
        <v>7</v>
      </c>
      <c r="H24" s="10">
        <v>785.9</v>
      </c>
      <c r="I24" s="2">
        <v>823.8</v>
      </c>
      <c r="J24" s="11">
        <f t="shared" si="6"/>
        <v>-37.899999999999977</v>
      </c>
      <c r="K24" s="12">
        <f t="shared" si="7"/>
        <v>-4.6006312211701844E-2</v>
      </c>
      <c r="N24" s="33"/>
      <c r="O24" s="33"/>
    </row>
    <row r="25" spans="1:15" x14ac:dyDescent="0.35">
      <c r="A25" t="s">
        <v>8</v>
      </c>
      <c r="B25" s="10">
        <v>115.6</v>
      </c>
      <c r="C25" s="2">
        <v>123.9</v>
      </c>
      <c r="D25" s="11">
        <f t="shared" si="4"/>
        <v>-8.3000000000000114</v>
      </c>
      <c r="E25" s="12">
        <f t="shared" si="5"/>
        <v>-6.6989507667473858E-2</v>
      </c>
      <c r="G25" t="s">
        <v>8</v>
      </c>
      <c r="H25" s="10">
        <v>462.3</v>
      </c>
      <c r="I25" s="2">
        <v>495.5</v>
      </c>
      <c r="J25" s="11">
        <f t="shared" si="6"/>
        <v>-33.199999999999989</v>
      </c>
      <c r="K25" s="12">
        <f t="shared" si="7"/>
        <v>-6.7003027245206834E-2</v>
      </c>
      <c r="N25" s="33"/>
      <c r="O25" s="33"/>
    </row>
    <row r="26" spans="1:15" x14ac:dyDescent="0.35">
      <c r="A26" t="s">
        <v>9</v>
      </c>
      <c r="B26" s="10">
        <v>104</v>
      </c>
      <c r="C26" s="2">
        <v>97</v>
      </c>
      <c r="D26" s="11">
        <f t="shared" si="4"/>
        <v>7</v>
      </c>
      <c r="E26" s="12">
        <f t="shared" si="5"/>
        <v>7.2164948453608241E-2</v>
      </c>
      <c r="G26" t="s">
        <v>9</v>
      </c>
      <c r="H26" s="10">
        <v>454</v>
      </c>
      <c r="I26" s="2">
        <v>404</v>
      </c>
      <c r="J26" s="11">
        <f t="shared" si="6"/>
        <v>50</v>
      </c>
      <c r="K26" s="12">
        <f t="shared" si="7"/>
        <v>0.12376237623762376</v>
      </c>
      <c r="N26" s="34"/>
      <c r="O26" s="34"/>
    </row>
    <row r="27" spans="1:15" x14ac:dyDescent="0.35">
      <c r="A27" t="s">
        <v>10</v>
      </c>
      <c r="B27" s="10">
        <v>42.9</v>
      </c>
      <c r="C27" s="2">
        <v>59.5</v>
      </c>
      <c r="D27" s="11">
        <f t="shared" si="4"/>
        <v>-16.600000000000001</v>
      </c>
      <c r="E27" s="12">
        <f t="shared" si="5"/>
        <v>-0.27899159663865547</v>
      </c>
      <c r="G27" t="s">
        <v>10</v>
      </c>
      <c r="H27" s="10">
        <v>108.7</v>
      </c>
      <c r="I27" s="2">
        <v>168.1</v>
      </c>
      <c r="J27" s="11">
        <f t="shared" si="6"/>
        <v>-59.399999999999991</v>
      </c>
      <c r="K27" s="12">
        <f t="shared" si="7"/>
        <v>-0.35336109458655557</v>
      </c>
      <c r="O27" s="33"/>
    </row>
    <row r="28" spans="1:15" ht="16.5" x14ac:dyDescent="0.35">
      <c r="A28" t="s">
        <v>11</v>
      </c>
      <c r="B28" s="10">
        <v>210.1</v>
      </c>
      <c r="C28" s="2">
        <v>181.8</v>
      </c>
      <c r="D28" s="11">
        <f t="shared" si="4"/>
        <v>28.299999999999983</v>
      </c>
      <c r="E28" s="12">
        <f t="shared" si="5"/>
        <v>0.15566556655665556</v>
      </c>
      <c r="G28" t="s">
        <v>11</v>
      </c>
      <c r="H28" s="10">
        <v>101.9</v>
      </c>
      <c r="I28" s="2">
        <v>91.4</v>
      </c>
      <c r="J28" s="11">
        <f t="shared" si="6"/>
        <v>10.5</v>
      </c>
      <c r="K28" s="12">
        <f t="shared" si="7"/>
        <v>0.1148796498905908</v>
      </c>
      <c r="O28" s="34"/>
    </row>
    <row r="29" spans="1:15" x14ac:dyDescent="0.35">
      <c r="A29" t="s">
        <v>12</v>
      </c>
      <c r="B29" s="10">
        <v>98.7</v>
      </c>
      <c r="C29" s="2">
        <v>75.599999999999994</v>
      </c>
      <c r="D29" s="11">
        <f t="shared" si="4"/>
        <v>23.100000000000009</v>
      </c>
      <c r="E29" s="12">
        <f t="shared" si="5"/>
        <v>0.30555555555555569</v>
      </c>
      <c r="G29" t="s">
        <v>12</v>
      </c>
      <c r="H29" s="10">
        <v>277.5</v>
      </c>
      <c r="I29" s="2">
        <v>247.3</v>
      </c>
      <c r="J29" s="11">
        <f t="shared" si="6"/>
        <v>30.199999999999989</v>
      </c>
      <c r="K29" s="12">
        <f t="shared" si="7"/>
        <v>0.12211888394662349</v>
      </c>
      <c r="N29" s="33"/>
      <c r="O29" s="33"/>
    </row>
    <row r="30" spans="1:15" x14ac:dyDescent="0.35">
      <c r="A30" t="s">
        <v>13</v>
      </c>
      <c r="B30" s="10">
        <v>3.6</v>
      </c>
      <c r="C30" s="2">
        <v>9.9</v>
      </c>
      <c r="D30" s="11">
        <f t="shared" si="4"/>
        <v>-6.3000000000000007</v>
      </c>
      <c r="E30" s="12">
        <f t="shared" si="5"/>
        <v>-0.63636363636363646</v>
      </c>
      <c r="G30" t="s">
        <v>13</v>
      </c>
      <c r="H30" s="10">
        <v>80.2</v>
      </c>
      <c r="I30" s="2">
        <v>88</v>
      </c>
      <c r="J30" s="11">
        <f t="shared" si="6"/>
        <v>-7.7999999999999972</v>
      </c>
      <c r="K30" s="12">
        <f t="shared" si="7"/>
        <v>-8.863636363636361E-2</v>
      </c>
      <c r="N30" s="33"/>
      <c r="O30" s="33"/>
    </row>
    <row r="31" spans="1:15" x14ac:dyDescent="0.35">
      <c r="A31" s="14" t="s">
        <v>14</v>
      </c>
      <c r="B31" s="15">
        <f>SUM(B27:B28)</f>
        <v>253</v>
      </c>
      <c r="C31" s="16">
        <f>SUM(C27:C28)</f>
        <v>241.3</v>
      </c>
      <c r="D31" s="16">
        <f>SUM(D27:D28)</f>
        <v>11.699999999999982</v>
      </c>
      <c r="E31" s="17">
        <f t="shared" si="5"/>
        <v>4.8487360132614926E-2</v>
      </c>
      <c r="G31" s="14" t="s">
        <v>14</v>
      </c>
      <c r="H31" s="15">
        <f>SUM(H27:H28)</f>
        <v>210.60000000000002</v>
      </c>
      <c r="I31" s="16">
        <f>SUM(I27:I28)</f>
        <v>259.5</v>
      </c>
      <c r="J31" s="16">
        <f>SUM(J27:J28)</f>
        <v>-48.899999999999991</v>
      </c>
      <c r="K31" s="17">
        <f t="shared" si="7"/>
        <v>-0.18843930635838146</v>
      </c>
      <c r="N31" s="33"/>
      <c r="O31" s="33"/>
    </row>
    <row r="32" spans="1:15" x14ac:dyDescent="0.35">
      <c r="N32" s="33"/>
      <c r="O32" s="33"/>
    </row>
    <row r="33" spans="1:15" x14ac:dyDescent="0.35">
      <c r="A33" s="14" t="s">
        <v>0</v>
      </c>
      <c r="B33" s="18">
        <v>24</v>
      </c>
      <c r="C33" s="19">
        <v>12.8</v>
      </c>
      <c r="D33" s="16">
        <f>+B33-C33</f>
        <v>11.2</v>
      </c>
      <c r="E33" s="17">
        <f>IFERROR(D33/C33,0)</f>
        <v>0.87499999999999989</v>
      </c>
      <c r="G33" s="14" t="s">
        <v>0</v>
      </c>
      <c r="H33" s="18">
        <v>77.3</v>
      </c>
      <c r="I33" s="19">
        <v>56.9</v>
      </c>
      <c r="J33" s="16">
        <f>+H33-I33</f>
        <v>20.399999999999999</v>
      </c>
      <c r="K33" s="17">
        <f>IFERROR(J33/I33,0)</f>
        <v>0.35852372583479786</v>
      </c>
      <c r="N33" s="33"/>
      <c r="O33" s="33"/>
    </row>
    <row r="34" spans="1:15" x14ac:dyDescent="0.35">
      <c r="N34" s="34"/>
      <c r="O34" s="34"/>
    </row>
    <row r="35" spans="1:15" x14ac:dyDescent="0.35">
      <c r="M35" s="32"/>
      <c r="O35" s="33"/>
    </row>
    <row r="36" spans="1:15" x14ac:dyDescent="0.35">
      <c r="A36" s="7" t="s">
        <v>17</v>
      </c>
      <c r="B36" s="20">
        <v>2024</v>
      </c>
      <c r="C36" s="7">
        <v>2023</v>
      </c>
      <c r="D36" s="7" t="s">
        <v>3</v>
      </c>
      <c r="E36" s="7" t="s">
        <v>4</v>
      </c>
      <c r="G36" s="7" t="s">
        <v>18</v>
      </c>
      <c r="H36" s="20">
        <v>2024</v>
      </c>
      <c r="I36" s="7">
        <v>2023</v>
      </c>
      <c r="J36" s="7" t="s">
        <v>3</v>
      </c>
      <c r="K36" s="7" t="s">
        <v>4</v>
      </c>
      <c r="O36" s="34"/>
    </row>
    <row r="37" spans="1:15" x14ac:dyDescent="0.35">
      <c r="A37" t="s">
        <v>6</v>
      </c>
      <c r="B37" s="21">
        <f>IFERROR(B23/B9,0)</f>
        <v>0.1724417426545086</v>
      </c>
      <c r="C37" s="22">
        <f t="shared" ref="B37:C45" si="8">IFERROR(C23/C9,0)</f>
        <v>0.20109670987038883</v>
      </c>
      <c r="D37" s="23" t="s">
        <v>19</v>
      </c>
      <c r="E37" s="24">
        <f t="shared" ref="E37:E45" si="9">IFERROR((B37-C37)*10000,0)</f>
        <v>-286.54967215880231</v>
      </c>
      <c r="G37" t="s">
        <v>6</v>
      </c>
      <c r="H37" s="21">
        <f>IFERROR(H23/H9,0)</f>
        <v>0.12822975517890772</v>
      </c>
      <c r="I37" s="22">
        <f>IFERROR(I23/I9,0)</f>
        <v>0.14562353365818445</v>
      </c>
      <c r="J37" s="23" t="s">
        <v>19</v>
      </c>
      <c r="K37" s="24">
        <f t="shared" ref="K37:K45" si="10">IFERROR((H37-I37)*10000,0)</f>
        <v>-173.93778479276727</v>
      </c>
      <c r="M37" s="32"/>
      <c r="N37" s="33"/>
      <c r="O37" s="33"/>
    </row>
    <row r="38" spans="1:15" x14ac:dyDescent="0.35">
      <c r="A38" t="s">
        <v>7</v>
      </c>
      <c r="B38" s="21">
        <f t="shared" si="8"/>
        <v>0.18095133713283648</v>
      </c>
      <c r="C38" s="22">
        <f t="shared" si="8"/>
        <v>0.19927132881287318</v>
      </c>
      <c r="D38" s="23" t="s">
        <v>19</v>
      </c>
      <c r="E38" s="24">
        <f t="shared" si="9"/>
        <v>-183.19991680036702</v>
      </c>
      <c r="G38" t="s">
        <v>7</v>
      </c>
      <c r="H38" s="21">
        <f t="shared" ref="H38:I45" si="11">IFERROR(H24/H10,0)</f>
        <v>0.20584075432163434</v>
      </c>
      <c r="I38" s="22">
        <f t="shared" si="11"/>
        <v>0.21380742278743836</v>
      </c>
      <c r="J38" s="23" t="s">
        <v>19</v>
      </c>
      <c r="K38" s="24">
        <f t="shared" si="10"/>
        <v>-79.666684658040168</v>
      </c>
      <c r="N38" s="33"/>
      <c r="O38" s="33"/>
    </row>
    <row r="39" spans="1:15" x14ac:dyDescent="0.35">
      <c r="A39" t="s">
        <v>8</v>
      </c>
      <c r="B39" s="21">
        <f t="shared" si="8"/>
        <v>0.2392879321051542</v>
      </c>
      <c r="C39" s="22">
        <f t="shared" si="8"/>
        <v>0.27930568079350765</v>
      </c>
      <c r="D39" s="23" t="s">
        <v>19</v>
      </c>
      <c r="E39" s="24">
        <f t="shared" si="9"/>
        <v>-400.17748688353447</v>
      </c>
      <c r="G39" t="s">
        <v>8</v>
      </c>
      <c r="H39" s="21">
        <f>IFERROR(H25/H11,0)</f>
        <v>0.21177278973889144</v>
      </c>
      <c r="I39" s="22">
        <f t="shared" si="11"/>
        <v>0.23255268221711176</v>
      </c>
      <c r="J39" s="23" t="s">
        <v>19</v>
      </c>
      <c r="K39" s="24">
        <f t="shared" si="10"/>
        <v>-207.79892478220319</v>
      </c>
      <c r="N39" s="33"/>
      <c r="O39" s="33"/>
    </row>
    <row r="40" spans="1:15" x14ac:dyDescent="0.35">
      <c r="A40" t="s">
        <v>9</v>
      </c>
      <c r="B40" s="21">
        <f>IFERROR(B26/B12,0)</f>
        <v>0.19259259259259259</v>
      </c>
      <c r="C40" s="22">
        <f>IFERROR(C26/C12,0)</f>
        <v>0.177007299270073</v>
      </c>
      <c r="D40" s="23" t="s">
        <v>19</v>
      </c>
      <c r="E40" s="24">
        <f t="shared" si="9"/>
        <v>155.85293322519595</v>
      </c>
      <c r="G40" t="s">
        <v>9</v>
      </c>
      <c r="H40" s="21">
        <f t="shared" si="11"/>
        <v>0.20159857904085257</v>
      </c>
      <c r="I40" s="22">
        <f t="shared" si="11"/>
        <v>0.19649805447470817</v>
      </c>
      <c r="J40" s="23" t="s">
        <v>19</v>
      </c>
      <c r="K40" s="24">
        <f t="shared" si="10"/>
        <v>51.005245661444043</v>
      </c>
      <c r="N40" s="33"/>
      <c r="O40" s="33"/>
    </row>
    <row r="41" spans="1:15" x14ac:dyDescent="0.35">
      <c r="A41" t="s">
        <v>10</v>
      </c>
      <c r="B41" s="21">
        <f t="shared" si="8"/>
        <v>0.10784313725490195</v>
      </c>
      <c r="C41" s="22">
        <f t="shared" si="8"/>
        <v>0.13760407030527291</v>
      </c>
      <c r="D41" s="23" t="s">
        <v>19</v>
      </c>
      <c r="E41" s="24">
        <f t="shared" si="9"/>
        <v>-297.6093305037096</v>
      </c>
      <c r="G41" t="s">
        <v>10</v>
      </c>
      <c r="H41" s="21">
        <f t="shared" si="11"/>
        <v>8.1723178708367802E-2</v>
      </c>
      <c r="I41" s="22">
        <f t="shared" si="11"/>
        <v>0.11583517089305402</v>
      </c>
      <c r="J41" s="23" t="s">
        <v>19</v>
      </c>
      <c r="K41" s="24">
        <f t="shared" si="10"/>
        <v>-341.11992184686221</v>
      </c>
      <c r="N41" s="33"/>
      <c r="O41" s="33"/>
    </row>
    <row r="42" spans="1:15" ht="16.5" x14ac:dyDescent="0.35">
      <c r="A42" t="s">
        <v>11</v>
      </c>
      <c r="B42" s="21">
        <f t="shared" si="8"/>
        <v>0.21595230753417619</v>
      </c>
      <c r="C42" s="22">
        <f t="shared" si="8"/>
        <v>0.18464351005484461</v>
      </c>
      <c r="D42" s="23" t="s">
        <v>19</v>
      </c>
      <c r="E42" s="24">
        <f t="shared" si="9"/>
        <v>313.08797479331577</v>
      </c>
      <c r="G42" t="s">
        <v>11</v>
      </c>
      <c r="H42" s="21">
        <f t="shared" si="11"/>
        <v>2.4958361908494171E-2</v>
      </c>
      <c r="I42" s="22">
        <f t="shared" si="11"/>
        <v>2.2268242173224512E-2</v>
      </c>
      <c r="J42" s="23" t="s">
        <v>19</v>
      </c>
      <c r="K42" s="24">
        <f t="shared" si="10"/>
        <v>26.901197352696588</v>
      </c>
      <c r="N42" s="34"/>
      <c r="O42" s="34"/>
    </row>
    <row r="43" spans="1:15" x14ac:dyDescent="0.35">
      <c r="A43" t="s">
        <v>12</v>
      </c>
      <c r="B43" s="21">
        <f t="shared" si="8"/>
        <v>0.30174258636502599</v>
      </c>
      <c r="C43" s="22">
        <f t="shared" si="8"/>
        <v>0.27145421903052064</v>
      </c>
      <c r="D43" s="23" t="s">
        <v>19</v>
      </c>
      <c r="E43" s="24">
        <f t="shared" si="9"/>
        <v>302.88367334505352</v>
      </c>
      <c r="G43" t="s">
        <v>12</v>
      </c>
      <c r="H43" s="21">
        <f t="shared" si="11"/>
        <v>0.26403425309229306</v>
      </c>
      <c r="I43" s="22">
        <f t="shared" si="11"/>
        <v>0.24919387343812979</v>
      </c>
      <c r="J43" s="23" t="s">
        <v>19</v>
      </c>
      <c r="K43" s="24">
        <f t="shared" si="10"/>
        <v>148.40379654163266</v>
      </c>
      <c r="O43" s="33"/>
    </row>
    <row r="44" spans="1:15" x14ac:dyDescent="0.35">
      <c r="A44" t="s">
        <v>13</v>
      </c>
      <c r="B44" s="21">
        <f t="shared" si="8"/>
        <v>4.1284403669724773E-2</v>
      </c>
      <c r="C44" s="22">
        <f t="shared" si="8"/>
        <v>0.10903083700440529</v>
      </c>
      <c r="D44" s="23" t="s">
        <v>19</v>
      </c>
      <c r="E44" s="24">
        <f t="shared" si="9"/>
        <v>-677.46433334680512</v>
      </c>
      <c r="G44" t="s">
        <v>13</v>
      </c>
      <c r="H44" s="21">
        <f t="shared" si="11"/>
        <v>0.1578740157480315</v>
      </c>
      <c r="I44" s="22">
        <f t="shared" si="11"/>
        <v>0.15547703180212014</v>
      </c>
      <c r="J44" s="23" t="s">
        <v>19</v>
      </c>
      <c r="K44" s="24">
        <f t="shared" si="10"/>
        <v>23.969839459113686</v>
      </c>
      <c r="O44" s="34"/>
    </row>
    <row r="45" spans="1:15" x14ac:dyDescent="0.35">
      <c r="A45" s="14" t="s">
        <v>14</v>
      </c>
      <c r="B45" s="25">
        <f t="shared" si="8"/>
        <v>0.18457722331655357</v>
      </c>
      <c r="C45" s="17">
        <f t="shared" si="8"/>
        <v>0.17028934368383911</v>
      </c>
      <c r="D45" s="26" t="s">
        <v>19</v>
      </c>
      <c r="E45" s="27">
        <f t="shared" si="9"/>
        <v>142.87879632714467</v>
      </c>
      <c r="G45" s="14" t="s">
        <v>14</v>
      </c>
      <c r="H45" s="25">
        <f t="shared" si="11"/>
        <v>3.8907055367732646E-2</v>
      </c>
      <c r="I45" s="17">
        <f t="shared" si="11"/>
        <v>4.6708785571575137E-2</v>
      </c>
      <c r="J45" s="26" t="s">
        <v>19</v>
      </c>
      <c r="K45" s="27">
        <f t="shared" si="10"/>
        <v>-78.017302038424916</v>
      </c>
      <c r="N45" s="33"/>
      <c r="O45" s="33"/>
    </row>
    <row r="46" spans="1:15" x14ac:dyDescent="0.35">
      <c r="N46" s="33"/>
      <c r="O46" s="33"/>
    </row>
    <row r="47" spans="1:15" x14ac:dyDescent="0.35">
      <c r="A47" s="14" t="s">
        <v>0</v>
      </c>
      <c r="B47" s="28">
        <f>IFERROR(B33/B19,0)</f>
        <v>0.11811023622047245</v>
      </c>
      <c r="C47" s="29">
        <f>IFERROR(C33/C19,0)</f>
        <v>6.4128256513026061E-2</v>
      </c>
      <c r="D47" s="26" t="s">
        <v>19</v>
      </c>
      <c r="E47" s="27">
        <f>IFERROR((B47-C47)*10000,0)</f>
        <v>539.81979707446396</v>
      </c>
      <c r="G47" s="14" t="s">
        <v>0</v>
      </c>
      <c r="H47" s="28">
        <f>IFERROR(H33/H19,0)</f>
        <v>0.10273790536948432</v>
      </c>
      <c r="I47" s="29">
        <f>IFERROR(I33/I19,0)</f>
        <v>6.7265634235725263E-2</v>
      </c>
      <c r="J47" s="26" t="s">
        <v>19</v>
      </c>
      <c r="K47" s="27">
        <f>IFERROR((H47-I47)*10000,0)</f>
        <v>354.72271133759057</v>
      </c>
      <c r="N47" s="33"/>
      <c r="O47" s="33"/>
    </row>
    <row r="48" spans="1:15" x14ac:dyDescent="0.35">
      <c r="N48" s="33"/>
      <c r="O48" s="33"/>
    </row>
    <row r="49" spans="1:15" ht="16.5" x14ac:dyDescent="0.35">
      <c r="A49" s="6" t="s">
        <v>20</v>
      </c>
      <c r="N49" s="33"/>
      <c r="O49" s="33"/>
    </row>
    <row r="50" spans="1:15" x14ac:dyDescent="0.35">
      <c r="N50" s="34"/>
      <c r="O50" s="34"/>
    </row>
    <row r="51" spans="1:15" x14ac:dyDescent="0.35">
      <c r="A51" s="30" t="s">
        <v>21</v>
      </c>
      <c r="B51" s="30"/>
      <c r="C51" s="30"/>
      <c r="D51" s="30"/>
      <c r="E51" s="30"/>
      <c r="F51" s="30"/>
      <c r="G51" s="5"/>
      <c r="H51" s="5"/>
      <c r="I51" s="5"/>
      <c r="J51" s="5"/>
      <c r="K51" s="5"/>
      <c r="O51" s="33"/>
    </row>
    <row r="52" spans="1:15" x14ac:dyDescent="0.35">
      <c r="B52" s="31"/>
      <c r="C52" s="31"/>
      <c r="D52" s="31"/>
      <c r="E52" s="31"/>
      <c r="O52" s="34"/>
    </row>
    <row r="53" spans="1:15" x14ac:dyDescent="0.35">
      <c r="N53" s="33"/>
      <c r="O53" s="33"/>
    </row>
    <row r="54" spans="1:15" x14ac:dyDescent="0.35">
      <c r="N54" s="33"/>
      <c r="O54" s="33"/>
    </row>
    <row r="55" spans="1:15" x14ac:dyDescent="0.35">
      <c r="N55" s="33"/>
      <c r="O55" s="33"/>
    </row>
    <row r="56" spans="1:15" x14ac:dyDescent="0.35">
      <c r="N56" s="33"/>
      <c r="O56" s="33"/>
    </row>
    <row r="57" spans="1:15" x14ac:dyDescent="0.35">
      <c r="N57" s="33"/>
      <c r="O57" s="33"/>
    </row>
    <row r="58" spans="1:15" x14ac:dyDescent="0.35">
      <c r="N58" s="34"/>
      <c r="O58" s="34"/>
    </row>
    <row r="59" spans="1:15" x14ac:dyDescent="0.35">
      <c r="O59" s="33"/>
    </row>
    <row r="60" spans="1:15" x14ac:dyDescent="0.35">
      <c r="O60" s="34"/>
    </row>
    <row r="61" spans="1:15" x14ac:dyDescent="0.35">
      <c r="N61" s="33"/>
      <c r="O61" s="33"/>
    </row>
    <row r="62" spans="1:15" x14ac:dyDescent="0.35">
      <c r="N62" s="33"/>
      <c r="O62" s="33"/>
    </row>
    <row r="63" spans="1:15" x14ac:dyDescent="0.35">
      <c r="N63" s="33"/>
      <c r="O63" s="33"/>
    </row>
    <row r="64" spans="1:15" x14ac:dyDescent="0.35">
      <c r="N64" s="33"/>
      <c r="O64" s="33"/>
    </row>
    <row r="65" spans="14:15" x14ac:dyDescent="0.35">
      <c r="N65" s="33"/>
      <c r="O65" s="33"/>
    </row>
    <row r="66" spans="14:15" x14ac:dyDescent="0.35">
      <c r="N66" s="34"/>
      <c r="O66" s="34"/>
    </row>
    <row r="67" spans="14:15" x14ac:dyDescent="0.35">
      <c r="O67" s="33"/>
    </row>
    <row r="68" spans="14:15" x14ac:dyDescent="0.35">
      <c r="O68" s="33"/>
    </row>
    <row r="69" spans="14:15" x14ac:dyDescent="0.35">
      <c r="N69" s="33"/>
      <c r="O69" s="34"/>
    </row>
    <row r="70" spans="14:15" x14ac:dyDescent="0.35">
      <c r="N70" s="33"/>
    </row>
    <row r="71" spans="14:15" x14ac:dyDescent="0.35">
      <c r="N71" s="33"/>
    </row>
    <row r="72" spans="14:15" x14ac:dyDescent="0.35">
      <c r="N72" s="33"/>
      <c r="O72" s="33"/>
    </row>
    <row r="73" spans="14:15" x14ac:dyDescent="0.35">
      <c r="N73" s="33"/>
      <c r="O73" s="33"/>
    </row>
    <row r="74" spans="14:15" x14ac:dyDescent="0.35">
      <c r="N74" s="34"/>
      <c r="O74" s="33"/>
    </row>
    <row r="75" spans="14:15" x14ac:dyDescent="0.35">
      <c r="O75" s="33"/>
    </row>
    <row r="76" spans="14:15" x14ac:dyDescent="0.35">
      <c r="O76" s="33"/>
    </row>
    <row r="77" spans="14:15" x14ac:dyDescent="0.35">
      <c r="N77" s="33"/>
      <c r="O77" s="34"/>
    </row>
    <row r="78" spans="14:15" x14ac:dyDescent="0.35">
      <c r="N78" s="33"/>
    </row>
    <row r="79" spans="14:15" x14ac:dyDescent="0.35">
      <c r="N79" s="33"/>
    </row>
    <row r="80" spans="14:15" x14ac:dyDescent="0.35">
      <c r="N80" s="33"/>
      <c r="O80" s="33"/>
    </row>
    <row r="81" spans="14:15" x14ac:dyDescent="0.35">
      <c r="N81" s="33"/>
      <c r="O81" s="33"/>
    </row>
    <row r="82" spans="14:15" x14ac:dyDescent="0.35">
      <c r="N82" s="34"/>
      <c r="O82" s="33"/>
    </row>
    <row r="83" spans="14:15" x14ac:dyDescent="0.35">
      <c r="O83" s="33"/>
    </row>
    <row r="84" spans="14:15" x14ac:dyDescent="0.35">
      <c r="O84" s="33"/>
    </row>
    <row r="85" spans="14:15" x14ac:dyDescent="0.35">
      <c r="N85" s="33"/>
      <c r="O85" s="34"/>
    </row>
    <row r="86" spans="14:15" x14ac:dyDescent="0.35">
      <c r="N86" s="33"/>
    </row>
    <row r="87" spans="14:15" x14ac:dyDescent="0.35">
      <c r="N87" s="33"/>
    </row>
    <row r="88" spans="14:15" x14ac:dyDescent="0.35">
      <c r="N88" s="33"/>
      <c r="O88" s="33"/>
    </row>
    <row r="89" spans="14:15" x14ac:dyDescent="0.35">
      <c r="N89" s="33"/>
      <c r="O89" s="33"/>
    </row>
    <row r="90" spans="14:15" x14ac:dyDescent="0.35">
      <c r="N90" s="34"/>
      <c r="O90" s="33"/>
    </row>
    <row r="91" spans="14:15" x14ac:dyDescent="0.35">
      <c r="O91" s="33"/>
    </row>
    <row r="92" spans="14:15" x14ac:dyDescent="0.35">
      <c r="O92" s="33"/>
    </row>
    <row r="93" spans="14:15" x14ac:dyDescent="0.35">
      <c r="N93" s="33"/>
      <c r="O93" s="34"/>
    </row>
    <row r="94" spans="14:15" x14ac:dyDescent="0.35">
      <c r="N94" s="33"/>
    </row>
    <row r="95" spans="14:15" x14ac:dyDescent="0.35">
      <c r="N95" s="33"/>
    </row>
    <row r="96" spans="14:15" x14ac:dyDescent="0.35">
      <c r="N96" s="33"/>
      <c r="O96" s="33"/>
    </row>
    <row r="97" spans="14:15" x14ac:dyDescent="0.35">
      <c r="N97" s="33"/>
      <c r="O97" s="33"/>
    </row>
    <row r="98" spans="14:15" x14ac:dyDescent="0.35">
      <c r="N98" s="34"/>
      <c r="O98" s="33"/>
    </row>
    <row r="99" spans="14:15" x14ac:dyDescent="0.35">
      <c r="O99" s="33"/>
    </row>
    <row r="100" spans="14:15" x14ac:dyDescent="0.35">
      <c r="O100" s="33"/>
    </row>
    <row r="101" spans="14:15" x14ac:dyDescent="0.35">
      <c r="N101" s="33"/>
      <c r="O101" s="34"/>
    </row>
    <row r="102" spans="14:15" x14ac:dyDescent="0.35">
      <c r="N102" s="33"/>
    </row>
    <row r="103" spans="14:15" x14ac:dyDescent="0.35">
      <c r="N103" s="33"/>
    </row>
    <row r="104" spans="14:15" x14ac:dyDescent="0.35">
      <c r="N104" s="33"/>
      <c r="O104" s="33"/>
    </row>
    <row r="105" spans="14:15" x14ac:dyDescent="0.35">
      <c r="N105" s="33"/>
      <c r="O105" s="33"/>
    </row>
    <row r="106" spans="14:15" x14ac:dyDescent="0.35">
      <c r="N106" s="34"/>
      <c r="O106" s="33"/>
    </row>
    <row r="107" spans="14:15" x14ac:dyDescent="0.35">
      <c r="O107" s="33"/>
    </row>
    <row r="108" spans="14:15" x14ac:dyDescent="0.35">
      <c r="O108" s="33"/>
    </row>
    <row r="109" spans="14:15" x14ac:dyDescent="0.35">
      <c r="N109" s="33"/>
      <c r="O109" s="34"/>
    </row>
    <row r="110" spans="14:15" x14ac:dyDescent="0.35">
      <c r="N110" s="33"/>
    </row>
    <row r="111" spans="14:15" x14ac:dyDescent="0.35">
      <c r="N111" s="33"/>
    </row>
    <row r="112" spans="14:15" x14ac:dyDescent="0.35">
      <c r="N112" s="33"/>
      <c r="O112" s="33"/>
    </row>
    <row r="113" spans="14:15" x14ac:dyDescent="0.35">
      <c r="N113" s="33"/>
      <c r="O113" s="33"/>
    </row>
    <row r="114" spans="14:15" x14ac:dyDescent="0.35">
      <c r="N114" s="34"/>
      <c r="O114" s="33"/>
    </row>
    <row r="115" spans="14:15" x14ac:dyDescent="0.35">
      <c r="O115" s="33"/>
    </row>
    <row r="116" spans="14:15" x14ac:dyDescent="0.35">
      <c r="O116" s="33"/>
    </row>
    <row r="117" spans="14:15" x14ac:dyDescent="0.35">
      <c r="N117" s="33"/>
      <c r="O117" s="34"/>
    </row>
    <row r="118" spans="14:15" x14ac:dyDescent="0.35">
      <c r="N118" s="33"/>
    </row>
    <row r="119" spans="14:15" x14ac:dyDescent="0.35">
      <c r="N119" s="33"/>
    </row>
    <row r="120" spans="14:15" x14ac:dyDescent="0.35">
      <c r="N120" s="33"/>
      <c r="O120" s="33"/>
    </row>
    <row r="121" spans="14:15" x14ac:dyDescent="0.35">
      <c r="N121" s="33"/>
      <c r="O121" s="33"/>
    </row>
    <row r="122" spans="14:15" x14ac:dyDescent="0.35">
      <c r="N122" s="34"/>
      <c r="O122" s="33"/>
    </row>
    <row r="123" spans="14:15" x14ac:dyDescent="0.35">
      <c r="N123" s="33"/>
      <c r="O123" s="33"/>
    </row>
    <row r="124" spans="14:15" x14ac:dyDescent="0.35">
      <c r="N124" s="33"/>
      <c r="O124" s="33"/>
    </row>
    <row r="125" spans="14:15" x14ac:dyDescent="0.35">
      <c r="N125" s="33"/>
      <c r="O125" s="34"/>
    </row>
    <row r="126" spans="14:15" x14ac:dyDescent="0.35">
      <c r="N126" s="33"/>
    </row>
    <row r="127" spans="14:15" x14ac:dyDescent="0.35">
      <c r="N127" s="33"/>
    </row>
    <row r="128" spans="14:15" x14ac:dyDescent="0.35">
      <c r="N128" s="34"/>
      <c r="O128" s="33"/>
    </row>
    <row r="129" spans="14:15" x14ac:dyDescent="0.35">
      <c r="O129" s="33"/>
    </row>
    <row r="130" spans="14:15" x14ac:dyDescent="0.35">
      <c r="O130" s="33"/>
    </row>
    <row r="131" spans="14:15" x14ac:dyDescent="0.35">
      <c r="N131" s="33"/>
      <c r="O131" s="33"/>
    </row>
    <row r="132" spans="14:15" x14ac:dyDescent="0.35">
      <c r="N132" s="33"/>
      <c r="O132" s="33"/>
    </row>
    <row r="133" spans="14:15" x14ac:dyDescent="0.35">
      <c r="N133" s="33"/>
      <c r="O133" s="34"/>
    </row>
    <row r="134" spans="14:15" x14ac:dyDescent="0.35">
      <c r="N134" s="33"/>
    </row>
    <row r="135" spans="14:15" x14ac:dyDescent="0.35">
      <c r="N135" s="33"/>
    </row>
    <row r="136" spans="14:15" x14ac:dyDescent="0.35">
      <c r="N136" s="34"/>
      <c r="O136" s="33"/>
    </row>
    <row r="137" spans="14:15" x14ac:dyDescent="0.35">
      <c r="O137" s="33"/>
    </row>
    <row r="138" spans="14:15" x14ac:dyDescent="0.35">
      <c r="O138" s="33"/>
    </row>
    <row r="139" spans="14:15" x14ac:dyDescent="0.35">
      <c r="N139" s="33"/>
      <c r="O139" s="33"/>
    </row>
    <row r="140" spans="14:15" x14ac:dyDescent="0.35">
      <c r="N140" s="33"/>
      <c r="O140" s="33"/>
    </row>
    <row r="141" spans="14:15" x14ac:dyDescent="0.35">
      <c r="N141" s="33"/>
      <c r="O141" s="34"/>
    </row>
    <row r="142" spans="14:15" x14ac:dyDescent="0.35">
      <c r="N142" s="33"/>
    </row>
    <row r="143" spans="14:15" x14ac:dyDescent="0.35">
      <c r="N143" s="33"/>
    </row>
    <row r="144" spans="14:15" x14ac:dyDescent="0.35">
      <c r="N144" s="34"/>
      <c r="O144" s="33"/>
    </row>
    <row r="145" spans="14:15" x14ac:dyDescent="0.35">
      <c r="O145" s="33"/>
    </row>
    <row r="146" spans="14:15" x14ac:dyDescent="0.35">
      <c r="O146" s="33"/>
    </row>
    <row r="147" spans="14:15" x14ac:dyDescent="0.35">
      <c r="N147" s="33"/>
      <c r="O147" s="33"/>
    </row>
    <row r="148" spans="14:15" x14ac:dyDescent="0.35">
      <c r="N148" s="33"/>
      <c r="O148" s="33"/>
    </row>
    <row r="149" spans="14:15" x14ac:dyDescent="0.35">
      <c r="N149" s="33"/>
      <c r="O149" s="34"/>
    </row>
    <row r="150" spans="14:15" x14ac:dyDescent="0.35">
      <c r="N150" s="33"/>
    </row>
    <row r="151" spans="14:15" x14ac:dyDescent="0.35">
      <c r="N151" s="33"/>
    </row>
    <row r="152" spans="14:15" x14ac:dyDescent="0.35">
      <c r="N152" s="34"/>
      <c r="O152" s="33"/>
    </row>
    <row r="153" spans="14:15" x14ac:dyDescent="0.35">
      <c r="O153" s="33"/>
    </row>
    <row r="154" spans="14:15" x14ac:dyDescent="0.35">
      <c r="O154" s="33"/>
    </row>
    <row r="155" spans="14:15" x14ac:dyDescent="0.35">
      <c r="N155" s="33"/>
      <c r="O155" s="33"/>
    </row>
    <row r="156" spans="14:15" x14ac:dyDescent="0.35">
      <c r="N156" s="33"/>
      <c r="O156" s="33"/>
    </row>
    <row r="157" spans="14:15" x14ac:dyDescent="0.35">
      <c r="N157" s="33"/>
      <c r="O157" s="34"/>
    </row>
    <row r="158" spans="14:15" x14ac:dyDescent="0.35">
      <c r="N158" s="33"/>
    </row>
    <row r="159" spans="14:15" x14ac:dyDescent="0.35">
      <c r="N159" s="33"/>
    </row>
    <row r="160" spans="14:15" x14ac:dyDescent="0.35">
      <c r="N160" s="34"/>
      <c r="O160" s="33"/>
    </row>
    <row r="161" spans="14:15" x14ac:dyDescent="0.35">
      <c r="O161" s="33"/>
    </row>
    <row r="162" spans="14:15" x14ac:dyDescent="0.35">
      <c r="O162" s="33"/>
    </row>
    <row r="163" spans="14:15" x14ac:dyDescent="0.35">
      <c r="N163" s="33"/>
      <c r="O163" s="33"/>
    </row>
    <row r="164" spans="14:15" x14ac:dyDescent="0.35">
      <c r="N164" s="33"/>
      <c r="O164" s="33"/>
    </row>
    <row r="165" spans="14:15" x14ac:dyDescent="0.35">
      <c r="N165" s="33"/>
      <c r="O165" s="34"/>
    </row>
    <row r="166" spans="14:15" x14ac:dyDescent="0.35">
      <c r="N166" s="33"/>
    </row>
    <row r="167" spans="14:15" x14ac:dyDescent="0.35">
      <c r="N167" s="33"/>
    </row>
    <row r="168" spans="14:15" x14ac:dyDescent="0.35">
      <c r="N168" s="34"/>
      <c r="O168" s="33"/>
    </row>
    <row r="169" spans="14:15" x14ac:dyDescent="0.35">
      <c r="O169" s="33"/>
    </row>
    <row r="170" spans="14:15" x14ac:dyDescent="0.35">
      <c r="O170" s="33"/>
    </row>
    <row r="171" spans="14:15" x14ac:dyDescent="0.35">
      <c r="N171" s="33"/>
      <c r="O171" s="33"/>
    </row>
    <row r="172" spans="14:15" x14ac:dyDescent="0.35">
      <c r="N172" s="33"/>
      <c r="O172" s="33"/>
    </row>
    <row r="173" spans="14:15" x14ac:dyDescent="0.35">
      <c r="N173" s="33"/>
      <c r="O173" s="34"/>
    </row>
    <row r="174" spans="14:15" x14ac:dyDescent="0.35">
      <c r="N174" s="33"/>
    </row>
    <row r="175" spans="14:15" x14ac:dyDescent="0.35">
      <c r="N175" s="33"/>
    </row>
    <row r="176" spans="14:15" x14ac:dyDescent="0.35">
      <c r="N176" s="34"/>
      <c r="O176" s="33"/>
    </row>
    <row r="177" spans="14:15" x14ac:dyDescent="0.35">
      <c r="O177" s="33"/>
    </row>
    <row r="178" spans="14:15" x14ac:dyDescent="0.35">
      <c r="O178" s="33"/>
    </row>
    <row r="179" spans="14:15" x14ac:dyDescent="0.35">
      <c r="N179" s="33"/>
      <c r="O179" s="33"/>
    </row>
    <row r="180" spans="14:15" x14ac:dyDescent="0.35">
      <c r="N180" s="33"/>
      <c r="O180" s="33"/>
    </row>
    <row r="181" spans="14:15" x14ac:dyDescent="0.35">
      <c r="N181" s="33"/>
      <c r="O181" s="34"/>
    </row>
    <row r="182" spans="14:15" x14ac:dyDescent="0.35">
      <c r="N182" s="33"/>
    </row>
    <row r="183" spans="14:15" x14ac:dyDescent="0.35">
      <c r="N183" s="33"/>
    </row>
    <row r="184" spans="14:15" x14ac:dyDescent="0.35">
      <c r="N184" s="34"/>
      <c r="O184" s="33"/>
    </row>
    <row r="185" spans="14:15" x14ac:dyDescent="0.35">
      <c r="O185" s="33"/>
    </row>
    <row r="186" spans="14:15" x14ac:dyDescent="0.35">
      <c r="O186" s="33"/>
    </row>
    <row r="187" spans="14:15" x14ac:dyDescent="0.35">
      <c r="N187" s="33"/>
      <c r="O187" s="33"/>
    </row>
    <row r="188" spans="14:15" x14ac:dyDescent="0.35">
      <c r="N188" s="33"/>
      <c r="O188" s="33"/>
    </row>
    <row r="189" spans="14:15" x14ac:dyDescent="0.35">
      <c r="N189" s="33"/>
      <c r="O189" s="34"/>
    </row>
    <row r="190" spans="14:15" x14ac:dyDescent="0.35">
      <c r="N190" s="33"/>
      <c r="O190" s="33"/>
    </row>
    <row r="191" spans="14:15" x14ac:dyDescent="0.35">
      <c r="N191" s="33"/>
      <c r="O191" s="33"/>
    </row>
    <row r="192" spans="14:15" x14ac:dyDescent="0.35">
      <c r="N192" s="34"/>
      <c r="O192" s="33"/>
    </row>
    <row r="193" spans="14:15" x14ac:dyDescent="0.35">
      <c r="O193" s="33"/>
    </row>
    <row r="194" spans="14:15" x14ac:dyDescent="0.35">
      <c r="O194" s="33"/>
    </row>
    <row r="195" spans="14:15" x14ac:dyDescent="0.35">
      <c r="N195" s="33"/>
      <c r="O195" s="33"/>
    </row>
    <row r="196" spans="14:15" x14ac:dyDescent="0.35">
      <c r="N196" s="33"/>
      <c r="O196" s="33"/>
    </row>
    <row r="197" spans="14:15" x14ac:dyDescent="0.35">
      <c r="N197" s="33"/>
      <c r="O197" s="34"/>
    </row>
    <row r="198" spans="14:15" x14ac:dyDescent="0.35">
      <c r="N198" s="33"/>
      <c r="O198" s="33"/>
    </row>
    <row r="199" spans="14:15" x14ac:dyDescent="0.35">
      <c r="N199" s="33"/>
      <c r="O199" s="33"/>
    </row>
    <row r="200" spans="14:15" x14ac:dyDescent="0.35">
      <c r="N200" s="34"/>
      <c r="O200" s="33"/>
    </row>
    <row r="201" spans="14:15" x14ac:dyDescent="0.35">
      <c r="O201" s="33"/>
    </row>
    <row r="202" spans="14:15" x14ac:dyDescent="0.35">
      <c r="O202" s="33"/>
    </row>
    <row r="203" spans="14:15" x14ac:dyDescent="0.35">
      <c r="N203" s="33"/>
      <c r="O203" s="33"/>
    </row>
    <row r="204" spans="14:15" x14ac:dyDescent="0.35">
      <c r="O204" s="33"/>
    </row>
    <row r="205" spans="14:15" x14ac:dyDescent="0.35">
      <c r="O205" s="34"/>
    </row>
    <row r="206" spans="14:15" x14ac:dyDescent="0.35">
      <c r="N206" s="33"/>
      <c r="O206" s="33"/>
    </row>
    <row r="207" spans="14:15" x14ac:dyDescent="0.35">
      <c r="N207" s="33"/>
      <c r="O207" s="33"/>
    </row>
    <row r="208" spans="14:15" x14ac:dyDescent="0.35">
      <c r="N208" s="33"/>
      <c r="O208" s="33"/>
    </row>
    <row r="209" spans="14:15" x14ac:dyDescent="0.35">
      <c r="N209" s="33"/>
      <c r="O209" s="33"/>
    </row>
    <row r="210" spans="14:15" x14ac:dyDescent="0.35">
      <c r="N210" s="33"/>
      <c r="O210" s="33"/>
    </row>
    <row r="211" spans="14:15" x14ac:dyDescent="0.35">
      <c r="N211" s="34"/>
      <c r="O211" s="33"/>
    </row>
    <row r="212" spans="14:15" x14ac:dyDescent="0.35">
      <c r="O212" s="33"/>
    </row>
    <row r="213" spans="14:15" x14ac:dyDescent="0.35">
      <c r="O213" s="34"/>
    </row>
    <row r="214" spans="14:15" x14ac:dyDescent="0.35">
      <c r="N214" s="33"/>
      <c r="O214" s="33"/>
    </row>
    <row r="215" spans="14:15" x14ac:dyDescent="0.35">
      <c r="N215" s="33"/>
      <c r="O215" s="33"/>
    </row>
    <row r="216" spans="14:15" x14ac:dyDescent="0.35">
      <c r="N216" s="33"/>
      <c r="O216" s="33"/>
    </row>
    <row r="217" spans="14:15" x14ac:dyDescent="0.35">
      <c r="N217" s="33"/>
      <c r="O217" s="33"/>
    </row>
    <row r="218" spans="14:15" x14ac:dyDescent="0.35">
      <c r="N218" s="33"/>
      <c r="O218" s="33"/>
    </row>
    <row r="219" spans="14:15" x14ac:dyDescent="0.35">
      <c r="N219" s="34"/>
      <c r="O219" s="33"/>
    </row>
    <row r="220" spans="14:15" x14ac:dyDescent="0.35">
      <c r="O220" s="33"/>
    </row>
    <row r="221" spans="14:15" x14ac:dyDescent="0.35">
      <c r="O221" s="34"/>
    </row>
    <row r="222" spans="14:15" x14ac:dyDescent="0.35">
      <c r="N222" s="33"/>
      <c r="O222" s="33"/>
    </row>
    <row r="223" spans="14:15" x14ac:dyDescent="0.35">
      <c r="N223" s="33"/>
      <c r="O223" s="33"/>
    </row>
    <row r="224" spans="14:15" x14ac:dyDescent="0.35">
      <c r="N224" s="33"/>
      <c r="O224" s="33"/>
    </row>
    <row r="225" spans="14:15" x14ac:dyDescent="0.35">
      <c r="N225" s="33"/>
      <c r="O225" s="33"/>
    </row>
    <row r="226" spans="14:15" x14ac:dyDescent="0.35">
      <c r="N226" s="33"/>
      <c r="O226" s="33"/>
    </row>
    <row r="227" spans="14:15" x14ac:dyDescent="0.35">
      <c r="N227" s="34"/>
      <c r="O227" s="33"/>
    </row>
    <row r="228" spans="14:15" x14ac:dyDescent="0.35">
      <c r="O228" s="33"/>
    </row>
    <row r="229" spans="14:15" x14ac:dyDescent="0.35">
      <c r="O229" s="34"/>
    </row>
    <row r="230" spans="14:15" x14ac:dyDescent="0.35">
      <c r="N230" s="33"/>
      <c r="O230" s="33"/>
    </row>
    <row r="231" spans="14:15" x14ac:dyDescent="0.35">
      <c r="N231" s="33"/>
      <c r="O231" s="33"/>
    </row>
    <row r="232" spans="14:15" x14ac:dyDescent="0.35">
      <c r="N232" s="33"/>
      <c r="O232" s="33"/>
    </row>
    <row r="233" spans="14:15" x14ac:dyDescent="0.35">
      <c r="N233" s="33"/>
      <c r="O233" s="33"/>
    </row>
    <row r="234" spans="14:15" x14ac:dyDescent="0.35">
      <c r="N234" s="33"/>
      <c r="O234" s="33"/>
    </row>
    <row r="235" spans="14:15" x14ac:dyDescent="0.35">
      <c r="N235" s="34"/>
      <c r="O235" s="33"/>
    </row>
    <row r="236" spans="14:15" x14ac:dyDescent="0.35">
      <c r="O236" s="33"/>
    </row>
    <row r="237" spans="14:15" x14ac:dyDescent="0.35">
      <c r="O237" s="34"/>
    </row>
    <row r="238" spans="14:15" x14ac:dyDescent="0.35">
      <c r="N238" s="33"/>
      <c r="O238" s="33"/>
    </row>
    <row r="239" spans="14:15" x14ac:dyDescent="0.35">
      <c r="N239" s="33"/>
      <c r="O239" s="33"/>
    </row>
    <row r="240" spans="14:15" x14ac:dyDescent="0.35">
      <c r="N240" s="33"/>
      <c r="O240" s="33"/>
    </row>
    <row r="241" spans="14:15" x14ac:dyDescent="0.35">
      <c r="N241" s="33"/>
      <c r="O241" s="33"/>
    </row>
    <row r="242" spans="14:15" x14ac:dyDescent="0.35">
      <c r="N242" s="33"/>
      <c r="O242" s="33"/>
    </row>
    <row r="243" spans="14:15" x14ac:dyDescent="0.35">
      <c r="N243" s="34"/>
      <c r="O243" s="33"/>
    </row>
    <row r="244" spans="14:15" x14ac:dyDescent="0.35">
      <c r="O244" s="33"/>
    </row>
    <row r="245" spans="14:15" x14ac:dyDescent="0.35">
      <c r="O245" s="34"/>
    </row>
    <row r="246" spans="14:15" x14ac:dyDescent="0.35">
      <c r="N246" s="33"/>
      <c r="O246" s="33"/>
    </row>
    <row r="247" spans="14:15" x14ac:dyDescent="0.35">
      <c r="N247" s="33"/>
      <c r="O247" s="33"/>
    </row>
    <row r="248" spans="14:15" x14ac:dyDescent="0.35">
      <c r="N248" s="33"/>
      <c r="O248" s="33"/>
    </row>
    <row r="249" spans="14:15" x14ac:dyDescent="0.35">
      <c r="N249" s="33"/>
      <c r="O249" s="33"/>
    </row>
    <row r="250" spans="14:15" x14ac:dyDescent="0.35">
      <c r="N250" s="33"/>
      <c r="O250" s="33"/>
    </row>
    <row r="251" spans="14:15" x14ac:dyDescent="0.35">
      <c r="N251" s="34"/>
      <c r="O251" s="33"/>
    </row>
    <row r="252" spans="14:15" x14ac:dyDescent="0.35">
      <c r="O252" s="33"/>
    </row>
    <row r="253" spans="14:15" x14ac:dyDescent="0.35">
      <c r="O253" s="34"/>
    </row>
    <row r="254" spans="14:15" x14ac:dyDescent="0.35">
      <c r="N254" s="33"/>
      <c r="O254" s="33"/>
    </row>
    <row r="255" spans="14:15" x14ac:dyDescent="0.35">
      <c r="N255" s="33"/>
      <c r="O255" s="33"/>
    </row>
    <row r="256" spans="14:15" x14ac:dyDescent="0.35">
      <c r="N256" s="33"/>
      <c r="O256" s="33"/>
    </row>
    <row r="257" spans="14:15" x14ac:dyDescent="0.35">
      <c r="N257" s="33"/>
      <c r="O257" s="33"/>
    </row>
    <row r="258" spans="14:15" x14ac:dyDescent="0.35">
      <c r="N258" s="33"/>
      <c r="O258" s="33"/>
    </row>
    <row r="259" spans="14:15" x14ac:dyDescent="0.35">
      <c r="N259" s="34"/>
      <c r="O259" s="33"/>
    </row>
    <row r="260" spans="14:15" x14ac:dyDescent="0.35">
      <c r="O260" s="33"/>
    </row>
    <row r="261" spans="14:15" x14ac:dyDescent="0.35">
      <c r="O261" s="34"/>
    </row>
    <row r="262" spans="14:15" x14ac:dyDescent="0.35">
      <c r="N262" s="33"/>
      <c r="O262" s="33"/>
    </row>
    <row r="263" spans="14:15" x14ac:dyDescent="0.35">
      <c r="N263" s="33"/>
      <c r="O263" s="33"/>
    </row>
    <row r="264" spans="14:15" x14ac:dyDescent="0.35">
      <c r="N264" s="33"/>
      <c r="O264" s="33"/>
    </row>
    <row r="265" spans="14:15" x14ac:dyDescent="0.35">
      <c r="N265" s="33"/>
      <c r="O265" s="33"/>
    </row>
    <row r="266" spans="14:15" x14ac:dyDescent="0.35">
      <c r="N266" s="33"/>
      <c r="O266" s="33"/>
    </row>
    <row r="267" spans="14:15" x14ac:dyDescent="0.35">
      <c r="N267" s="34"/>
      <c r="O267" s="33"/>
    </row>
    <row r="268" spans="14:15" x14ac:dyDescent="0.35">
      <c r="O268" s="33"/>
    </row>
    <row r="269" spans="14:15" x14ac:dyDescent="0.35">
      <c r="O269" s="34"/>
    </row>
    <row r="270" spans="14:15" x14ac:dyDescent="0.35">
      <c r="N270" s="33"/>
      <c r="O270" s="33"/>
    </row>
    <row r="271" spans="14:15" x14ac:dyDescent="0.35">
      <c r="N271" s="33"/>
      <c r="O271" s="33"/>
    </row>
    <row r="272" spans="14:15" x14ac:dyDescent="0.35">
      <c r="N272" s="33"/>
      <c r="O272" s="33"/>
    </row>
    <row r="273" spans="14:15" x14ac:dyDescent="0.35">
      <c r="N273" s="33"/>
      <c r="O273" s="33"/>
    </row>
    <row r="274" spans="14:15" x14ac:dyDescent="0.35">
      <c r="N274" s="33"/>
      <c r="O274" s="33"/>
    </row>
    <row r="275" spans="14:15" x14ac:dyDescent="0.35">
      <c r="N275" s="34"/>
      <c r="O275" s="33"/>
    </row>
    <row r="276" spans="14:15" x14ac:dyDescent="0.35">
      <c r="O276" s="33"/>
    </row>
    <row r="277" spans="14:15" x14ac:dyDescent="0.35">
      <c r="O277" s="34"/>
    </row>
    <row r="278" spans="14:15" x14ac:dyDescent="0.35">
      <c r="N278" s="33"/>
      <c r="O278" s="33"/>
    </row>
    <row r="279" spans="14:15" x14ac:dyDescent="0.35">
      <c r="N279" s="33"/>
      <c r="O279" s="33"/>
    </row>
    <row r="280" spans="14:15" x14ac:dyDescent="0.35">
      <c r="N280" s="33"/>
      <c r="O280" s="33"/>
    </row>
    <row r="281" spans="14:15" x14ac:dyDescent="0.35">
      <c r="N281" s="33"/>
      <c r="O281" s="33"/>
    </row>
    <row r="282" spans="14:15" x14ac:dyDescent="0.35">
      <c r="N282" s="33"/>
      <c r="O282" s="33"/>
    </row>
    <row r="283" spans="14:15" x14ac:dyDescent="0.35">
      <c r="N283" s="34"/>
      <c r="O283" s="33"/>
    </row>
    <row r="284" spans="14:15" x14ac:dyDescent="0.35">
      <c r="O284" s="33"/>
    </row>
    <row r="285" spans="14:15" x14ac:dyDescent="0.35">
      <c r="O285" s="34"/>
    </row>
    <row r="286" spans="14:15" x14ac:dyDescent="0.35">
      <c r="N286" s="33"/>
      <c r="O286" s="33"/>
    </row>
    <row r="287" spans="14:15" x14ac:dyDescent="0.35">
      <c r="N287" s="33"/>
      <c r="O287" s="33"/>
    </row>
    <row r="288" spans="14:15" x14ac:dyDescent="0.35">
      <c r="N288" s="33"/>
      <c r="O288" s="33"/>
    </row>
    <row r="289" spans="14:15" x14ac:dyDescent="0.35">
      <c r="N289" s="33"/>
      <c r="O289" s="33"/>
    </row>
    <row r="290" spans="14:15" x14ac:dyDescent="0.35">
      <c r="N290" s="33"/>
      <c r="O290" s="33"/>
    </row>
    <row r="291" spans="14:15" x14ac:dyDescent="0.35">
      <c r="N291" s="34"/>
      <c r="O291" s="33"/>
    </row>
    <row r="292" spans="14:15" x14ac:dyDescent="0.35">
      <c r="O292" s="33"/>
    </row>
    <row r="293" spans="14:15" x14ac:dyDescent="0.35">
      <c r="O293" s="34"/>
    </row>
    <row r="294" spans="14:15" x14ac:dyDescent="0.35">
      <c r="N294" s="33"/>
      <c r="O294" s="33"/>
    </row>
    <row r="295" spans="14:15" x14ac:dyDescent="0.35">
      <c r="N295" s="33"/>
      <c r="O295" s="33"/>
    </row>
    <row r="296" spans="14:15" x14ac:dyDescent="0.35">
      <c r="N296" s="33"/>
      <c r="O296" s="33"/>
    </row>
    <row r="297" spans="14:15" x14ac:dyDescent="0.35">
      <c r="N297" s="33"/>
      <c r="O297" s="33"/>
    </row>
    <row r="298" spans="14:15" x14ac:dyDescent="0.35">
      <c r="N298" s="33"/>
      <c r="O298" s="33"/>
    </row>
    <row r="299" spans="14:15" x14ac:dyDescent="0.35">
      <c r="N299" s="34"/>
      <c r="O299" s="33"/>
    </row>
    <row r="300" spans="14:15" x14ac:dyDescent="0.35">
      <c r="O300" s="33"/>
    </row>
    <row r="301" spans="14:15" x14ac:dyDescent="0.35">
      <c r="O301" s="34"/>
    </row>
    <row r="302" spans="14:15" x14ac:dyDescent="0.35">
      <c r="N302" s="33"/>
      <c r="O302" s="33"/>
    </row>
    <row r="303" spans="14:15" x14ac:dyDescent="0.35">
      <c r="N303" s="33"/>
      <c r="O303" s="33"/>
    </row>
    <row r="304" spans="14:15" x14ac:dyDescent="0.35">
      <c r="N304" s="33"/>
      <c r="O304" s="33"/>
    </row>
    <row r="305" spans="14:15" x14ac:dyDescent="0.35">
      <c r="N305" s="33"/>
      <c r="O305" s="33"/>
    </row>
    <row r="306" spans="14:15" x14ac:dyDescent="0.35">
      <c r="N306" s="33"/>
      <c r="O306" s="33"/>
    </row>
    <row r="307" spans="14:15" x14ac:dyDescent="0.35">
      <c r="N307" s="34"/>
      <c r="O307" s="33"/>
    </row>
    <row r="308" spans="14:15" x14ac:dyDescent="0.35">
      <c r="O308" s="33"/>
    </row>
    <row r="309" spans="14:15" x14ac:dyDescent="0.35">
      <c r="O309" s="34"/>
    </row>
    <row r="310" spans="14:15" x14ac:dyDescent="0.35">
      <c r="N310" s="33"/>
      <c r="O310" s="33"/>
    </row>
    <row r="311" spans="14:15" x14ac:dyDescent="0.35">
      <c r="N311" s="33"/>
      <c r="O311" s="33"/>
    </row>
    <row r="312" spans="14:15" x14ac:dyDescent="0.35">
      <c r="N312" s="33"/>
      <c r="O312" s="33"/>
    </row>
    <row r="313" spans="14:15" x14ac:dyDescent="0.35">
      <c r="N313" s="33"/>
      <c r="O313" s="33"/>
    </row>
    <row r="314" spans="14:15" x14ac:dyDescent="0.35">
      <c r="N314" s="33"/>
      <c r="O314" s="33"/>
    </row>
    <row r="315" spans="14:15" x14ac:dyDescent="0.35">
      <c r="N315" s="34"/>
      <c r="O315" s="33"/>
    </row>
    <row r="316" spans="14:15" x14ac:dyDescent="0.35">
      <c r="O316" s="33"/>
    </row>
    <row r="317" spans="14:15" x14ac:dyDescent="0.35">
      <c r="O317" s="34"/>
    </row>
    <row r="318" spans="14:15" x14ac:dyDescent="0.35">
      <c r="O318" s="33"/>
    </row>
    <row r="319" spans="14:15" x14ac:dyDescent="0.35">
      <c r="O319" s="33"/>
    </row>
    <row r="320" spans="14:15" x14ac:dyDescent="0.35">
      <c r="O320" s="33"/>
    </row>
    <row r="321" spans="15:15" x14ac:dyDescent="0.35">
      <c r="O321" s="33"/>
    </row>
    <row r="322" spans="15:15" x14ac:dyDescent="0.35">
      <c r="O322" s="33"/>
    </row>
    <row r="323" spans="15:15" x14ac:dyDescent="0.35">
      <c r="O323" s="33"/>
    </row>
    <row r="324" spans="15:15" x14ac:dyDescent="0.35">
      <c r="O324" s="33"/>
    </row>
    <row r="325" spans="15:15" x14ac:dyDescent="0.35">
      <c r="O325" s="34"/>
    </row>
    <row r="326" spans="15:15" x14ac:dyDescent="0.35">
      <c r="O326" s="33"/>
    </row>
    <row r="327" spans="15:15" x14ac:dyDescent="0.35">
      <c r="O327" s="33"/>
    </row>
    <row r="328" spans="15:15" x14ac:dyDescent="0.35">
      <c r="O328" s="33"/>
    </row>
    <row r="329" spans="15:15" x14ac:dyDescent="0.35">
      <c r="O329" s="33"/>
    </row>
    <row r="330" spans="15:15" x14ac:dyDescent="0.35">
      <c r="O330" s="33"/>
    </row>
    <row r="331" spans="15:15" x14ac:dyDescent="0.35">
      <c r="O331" s="33"/>
    </row>
    <row r="332" spans="15:15" x14ac:dyDescent="0.35">
      <c r="O332" s="33"/>
    </row>
    <row r="333" spans="15:15" x14ac:dyDescent="0.35">
      <c r="O333" s="34"/>
    </row>
    <row r="334" spans="15:15" x14ac:dyDescent="0.35">
      <c r="O334" s="33"/>
    </row>
    <row r="335" spans="15:15" x14ac:dyDescent="0.35">
      <c r="O335" s="33"/>
    </row>
    <row r="336" spans="15:15" x14ac:dyDescent="0.35">
      <c r="O336" s="33"/>
    </row>
    <row r="337" spans="15:15" x14ac:dyDescent="0.35">
      <c r="O337" s="33"/>
    </row>
    <row r="338" spans="15:15" x14ac:dyDescent="0.35">
      <c r="O338" s="33"/>
    </row>
    <row r="339" spans="15:15" x14ac:dyDescent="0.35">
      <c r="O339" s="33"/>
    </row>
    <row r="340" spans="15:15" x14ac:dyDescent="0.35">
      <c r="O340" s="33"/>
    </row>
    <row r="341" spans="15:15" x14ac:dyDescent="0.35">
      <c r="O341" s="34"/>
    </row>
    <row r="342" spans="15:15" x14ac:dyDescent="0.35">
      <c r="O342" s="33"/>
    </row>
    <row r="343" spans="15:15" x14ac:dyDescent="0.35">
      <c r="O343" s="33"/>
    </row>
    <row r="344" spans="15:15" x14ac:dyDescent="0.35">
      <c r="O344" s="33"/>
    </row>
    <row r="345" spans="15:15" x14ac:dyDescent="0.35">
      <c r="O345" s="33"/>
    </row>
    <row r="346" spans="15:15" x14ac:dyDescent="0.35">
      <c r="O346" s="33"/>
    </row>
    <row r="347" spans="15:15" x14ac:dyDescent="0.35">
      <c r="O347" s="33"/>
    </row>
    <row r="348" spans="15:15" x14ac:dyDescent="0.35">
      <c r="O348" s="33"/>
    </row>
    <row r="349" spans="15:15" x14ac:dyDescent="0.35">
      <c r="O349" s="34"/>
    </row>
    <row r="350" spans="15:15" x14ac:dyDescent="0.35">
      <c r="O350" s="33"/>
    </row>
    <row r="351" spans="15:15" x14ac:dyDescent="0.35">
      <c r="O351" s="33"/>
    </row>
    <row r="352" spans="15:15" x14ac:dyDescent="0.35">
      <c r="O352" s="33"/>
    </row>
    <row r="353" spans="15:15" x14ac:dyDescent="0.35">
      <c r="O353" s="33"/>
    </row>
    <row r="354" spans="15:15" x14ac:dyDescent="0.35">
      <c r="O354" s="33"/>
    </row>
    <row r="355" spans="15:15" x14ac:dyDescent="0.35">
      <c r="O355" s="33"/>
    </row>
    <row r="356" spans="15:15" x14ac:dyDescent="0.35">
      <c r="O356" s="33"/>
    </row>
    <row r="357" spans="15:15" x14ac:dyDescent="0.35">
      <c r="O357" s="34"/>
    </row>
    <row r="358" spans="15:15" x14ac:dyDescent="0.35">
      <c r="O358" s="33"/>
    </row>
    <row r="359" spans="15:15" x14ac:dyDescent="0.35">
      <c r="O359" s="33"/>
    </row>
    <row r="360" spans="15:15" x14ac:dyDescent="0.35">
      <c r="O360" s="33"/>
    </row>
    <row r="361" spans="15:15" x14ac:dyDescent="0.35">
      <c r="O361" s="33"/>
    </row>
    <row r="362" spans="15:15" x14ac:dyDescent="0.35">
      <c r="O362" s="33"/>
    </row>
    <row r="363" spans="15:15" x14ac:dyDescent="0.35">
      <c r="O363" s="33"/>
    </row>
    <row r="364" spans="15:15" x14ac:dyDescent="0.35">
      <c r="O364" s="33"/>
    </row>
    <row r="365" spans="15:15" x14ac:dyDescent="0.35">
      <c r="O365" s="34"/>
    </row>
    <row r="366" spans="15:15" x14ac:dyDescent="0.35">
      <c r="O366" s="33"/>
    </row>
    <row r="367" spans="15:15" x14ac:dyDescent="0.35">
      <c r="O367" s="33"/>
    </row>
    <row r="368" spans="15:15" x14ac:dyDescent="0.35">
      <c r="O368" s="33"/>
    </row>
    <row r="369" spans="15:15" x14ac:dyDescent="0.35">
      <c r="O369" s="33"/>
    </row>
    <row r="370" spans="15:15" x14ac:dyDescent="0.35">
      <c r="O370" s="33"/>
    </row>
    <row r="371" spans="15:15" x14ac:dyDescent="0.35">
      <c r="O371" s="33"/>
    </row>
    <row r="372" spans="15:15" x14ac:dyDescent="0.35">
      <c r="O372" s="33"/>
    </row>
    <row r="373" spans="15:15" x14ac:dyDescent="0.35">
      <c r="O373" s="34"/>
    </row>
    <row r="374" spans="15:15" x14ac:dyDescent="0.35">
      <c r="O374" s="33"/>
    </row>
    <row r="375" spans="15:15" x14ac:dyDescent="0.35">
      <c r="O375" s="33"/>
    </row>
    <row r="376" spans="15:15" x14ac:dyDescent="0.35">
      <c r="O376" s="33"/>
    </row>
    <row r="377" spans="15:15" x14ac:dyDescent="0.35">
      <c r="O377" s="33"/>
    </row>
    <row r="378" spans="15:15" x14ac:dyDescent="0.35">
      <c r="O378" s="33"/>
    </row>
    <row r="379" spans="15:15" x14ac:dyDescent="0.35">
      <c r="O379" s="33"/>
    </row>
    <row r="380" spans="15:15" x14ac:dyDescent="0.35">
      <c r="O380" s="33"/>
    </row>
    <row r="381" spans="15:15" x14ac:dyDescent="0.35">
      <c r="O381" s="34"/>
    </row>
    <row r="382" spans="15:15" x14ac:dyDescent="0.35">
      <c r="O382" s="33"/>
    </row>
    <row r="383" spans="15:15" x14ac:dyDescent="0.35">
      <c r="O383" s="33"/>
    </row>
    <row r="384" spans="15:15" x14ac:dyDescent="0.35">
      <c r="O384" s="33"/>
    </row>
    <row r="385" spans="15:15" x14ac:dyDescent="0.35">
      <c r="O385" s="33"/>
    </row>
    <row r="386" spans="15:15" x14ac:dyDescent="0.35">
      <c r="O386" s="33"/>
    </row>
    <row r="387" spans="15:15" x14ac:dyDescent="0.35">
      <c r="O387" s="33"/>
    </row>
    <row r="388" spans="15:15" x14ac:dyDescent="0.35">
      <c r="O388" s="33"/>
    </row>
    <row r="389" spans="15:15" x14ac:dyDescent="0.35">
      <c r="O389" s="34"/>
    </row>
    <row r="390" spans="15:15" x14ac:dyDescent="0.35">
      <c r="O390" s="33"/>
    </row>
    <row r="391" spans="15:15" x14ac:dyDescent="0.35">
      <c r="O391" s="33"/>
    </row>
    <row r="392" spans="15:15" x14ac:dyDescent="0.35">
      <c r="O392" s="33"/>
    </row>
    <row r="393" spans="15:15" x14ac:dyDescent="0.35">
      <c r="O393" s="33"/>
    </row>
    <row r="394" spans="15:15" x14ac:dyDescent="0.35">
      <c r="O394" s="33"/>
    </row>
    <row r="395" spans="15:15" x14ac:dyDescent="0.35">
      <c r="O395" s="33"/>
    </row>
    <row r="396" spans="15:15" x14ac:dyDescent="0.35">
      <c r="O396" s="33"/>
    </row>
    <row r="397" spans="15:15" x14ac:dyDescent="0.35">
      <c r="O397" s="34"/>
    </row>
    <row r="398" spans="15:15" x14ac:dyDescent="0.35">
      <c r="O398" s="33"/>
    </row>
    <row r="399" spans="15:15" x14ac:dyDescent="0.35">
      <c r="O399" s="33"/>
    </row>
    <row r="400" spans="15:15" x14ac:dyDescent="0.35">
      <c r="O400" s="33"/>
    </row>
    <row r="401" spans="15:15" x14ac:dyDescent="0.35">
      <c r="O401" s="33"/>
    </row>
    <row r="402" spans="15:15" x14ac:dyDescent="0.35">
      <c r="O402" s="33"/>
    </row>
    <row r="403" spans="15:15" x14ac:dyDescent="0.35">
      <c r="O403" s="33"/>
    </row>
    <row r="404" spans="15:15" x14ac:dyDescent="0.35">
      <c r="O404" s="33"/>
    </row>
    <row r="405" spans="15:15" x14ac:dyDescent="0.35">
      <c r="O405" s="34"/>
    </row>
    <row r="406" spans="15:15" x14ac:dyDescent="0.35">
      <c r="O406" s="33"/>
    </row>
    <row r="407" spans="15:15" x14ac:dyDescent="0.35">
      <c r="O407" s="33"/>
    </row>
    <row r="408" spans="15:15" x14ac:dyDescent="0.35">
      <c r="O408" s="33"/>
    </row>
    <row r="409" spans="15:15" x14ac:dyDescent="0.35">
      <c r="O409" s="33"/>
    </row>
    <row r="410" spans="15:15" x14ac:dyDescent="0.35">
      <c r="O410" s="33"/>
    </row>
    <row r="411" spans="15:15" x14ac:dyDescent="0.35">
      <c r="O411" s="33"/>
    </row>
    <row r="412" spans="15:15" x14ac:dyDescent="0.35">
      <c r="O412" s="33"/>
    </row>
    <row r="413" spans="15:15" x14ac:dyDescent="0.35">
      <c r="O413" s="34"/>
    </row>
    <row r="414" spans="15:15" x14ac:dyDescent="0.35">
      <c r="O414" s="33"/>
    </row>
    <row r="415" spans="15:15" x14ac:dyDescent="0.35">
      <c r="O415" s="33"/>
    </row>
    <row r="416" spans="15:15" x14ac:dyDescent="0.35">
      <c r="O416" s="33"/>
    </row>
    <row r="417" spans="15:15" x14ac:dyDescent="0.35">
      <c r="O417" s="33"/>
    </row>
    <row r="418" spans="15:15" x14ac:dyDescent="0.35">
      <c r="O418" s="33"/>
    </row>
    <row r="419" spans="15:15" x14ac:dyDescent="0.35">
      <c r="O419" s="33"/>
    </row>
    <row r="420" spans="15:15" x14ac:dyDescent="0.35">
      <c r="O420" s="33"/>
    </row>
    <row r="421" spans="15:15" x14ac:dyDescent="0.35">
      <c r="O421" s="34"/>
    </row>
    <row r="422" spans="15:15" x14ac:dyDescent="0.35">
      <c r="O422" s="33"/>
    </row>
    <row r="423" spans="15:15" x14ac:dyDescent="0.35">
      <c r="O423" s="33"/>
    </row>
    <row r="424" spans="15:15" x14ac:dyDescent="0.35">
      <c r="O424" s="33"/>
    </row>
    <row r="425" spans="15:15" x14ac:dyDescent="0.35">
      <c r="O425" s="33"/>
    </row>
    <row r="426" spans="15:15" x14ac:dyDescent="0.35">
      <c r="O426" s="33"/>
    </row>
    <row r="427" spans="15:15" x14ac:dyDescent="0.35">
      <c r="O427" s="34"/>
    </row>
    <row r="430" spans="15:15" x14ac:dyDescent="0.35">
      <c r="O430" s="33"/>
    </row>
    <row r="431" spans="15:15" x14ac:dyDescent="0.35">
      <c r="O431" s="33"/>
    </row>
    <row r="432" spans="15:15" x14ac:dyDescent="0.35">
      <c r="O432" s="33"/>
    </row>
    <row r="433" spans="15:15" x14ac:dyDescent="0.35">
      <c r="O433" s="33"/>
    </row>
    <row r="434" spans="15:15" x14ac:dyDescent="0.35">
      <c r="O434" s="33"/>
    </row>
    <row r="435" spans="15:15" x14ac:dyDescent="0.35">
      <c r="O435" s="34"/>
    </row>
    <row r="438" spans="15:15" x14ac:dyDescent="0.35">
      <c r="O438" s="33"/>
    </row>
    <row r="439" spans="15:15" x14ac:dyDescent="0.35">
      <c r="O439" s="33"/>
    </row>
    <row r="440" spans="15:15" x14ac:dyDescent="0.35">
      <c r="O440" s="33"/>
    </row>
    <row r="441" spans="15:15" x14ac:dyDescent="0.35">
      <c r="O441" s="33"/>
    </row>
    <row r="442" spans="15:15" x14ac:dyDescent="0.35">
      <c r="O442" s="33"/>
    </row>
    <row r="443" spans="15:15" x14ac:dyDescent="0.35">
      <c r="O443" s="34"/>
    </row>
    <row r="446" spans="15:15" x14ac:dyDescent="0.35">
      <c r="O446" s="33"/>
    </row>
    <row r="447" spans="15:15" x14ac:dyDescent="0.35">
      <c r="O447" s="33"/>
    </row>
    <row r="448" spans="15:15" x14ac:dyDescent="0.35">
      <c r="O448" s="33"/>
    </row>
    <row r="449" spans="15:15" x14ac:dyDescent="0.35">
      <c r="O449" s="33"/>
    </row>
    <row r="450" spans="15:15" x14ac:dyDescent="0.35">
      <c r="O450" s="33"/>
    </row>
    <row r="451" spans="15:15" x14ac:dyDescent="0.35">
      <c r="O451" s="34"/>
    </row>
    <row r="454" spans="15:15" x14ac:dyDescent="0.35">
      <c r="O454" s="33"/>
    </row>
    <row r="455" spans="15:15" x14ac:dyDescent="0.35">
      <c r="O455" s="33"/>
    </row>
    <row r="456" spans="15:15" x14ac:dyDescent="0.35">
      <c r="O456" s="33"/>
    </row>
    <row r="457" spans="15:15" x14ac:dyDescent="0.35">
      <c r="O457" s="33"/>
    </row>
    <row r="458" spans="15:15" x14ac:dyDescent="0.35">
      <c r="O458" s="33"/>
    </row>
    <row r="459" spans="15:15" x14ac:dyDescent="0.35">
      <c r="O459" s="34"/>
    </row>
    <row r="462" spans="15:15" x14ac:dyDescent="0.35">
      <c r="O462" s="33"/>
    </row>
    <row r="463" spans="15:15" x14ac:dyDescent="0.35">
      <c r="O463" s="33"/>
    </row>
    <row r="464" spans="15:15" x14ac:dyDescent="0.35">
      <c r="O464" s="33"/>
    </row>
    <row r="465" spans="15:15" x14ac:dyDescent="0.35">
      <c r="O465" s="33"/>
    </row>
    <row r="466" spans="15:15" x14ac:dyDescent="0.35">
      <c r="O466" s="33"/>
    </row>
    <row r="467" spans="15:15" x14ac:dyDescent="0.35">
      <c r="O467" s="34"/>
    </row>
    <row r="470" spans="15:15" x14ac:dyDescent="0.35">
      <c r="O470" s="33"/>
    </row>
    <row r="471" spans="15:15" x14ac:dyDescent="0.35">
      <c r="O471" s="33"/>
    </row>
    <row r="472" spans="15:15" x14ac:dyDescent="0.35">
      <c r="O472" s="33"/>
    </row>
    <row r="473" spans="15:15" x14ac:dyDescent="0.35">
      <c r="O473" s="33"/>
    </row>
    <row r="474" spans="15:15" x14ac:dyDescent="0.35">
      <c r="O474" s="33"/>
    </row>
    <row r="475" spans="15:15" x14ac:dyDescent="0.35">
      <c r="O475" s="34"/>
    </row>
    <row r="478" spans="15:15" x14ac:dyDescent="0.35">
      <c r="O478" s="33"/>
    </row>
    <row r="479" spans="15:15" x14ac:dyDescent="0.35">
      <c r="O479" s="33"/>
    </row>
    <row r="480" spans="15:15" x14ac:dyDescent="0.35">
      <c r="O480" s="33"/>
    </row>
    <row r="481" spans="15:15" x14ac:dyDescent="0.35">
      <c r="O481" s="33"/>
    </row>
    <row r="482" spans="15:15" x14ac:dyDescent="0.35">
      <c r="O482" s="33"/>
    </row>
    <row r="483" spans="15:15" x14ac:dyDescent="0.35">
      <c r="O483" s="34"/>
    </row>
    <row r="486" spans="15:15" x14ac:dyDescent="0.35">
      <c r="O486" s="33"/>
    </row>
    <row r="487" spans="15:15" x14ac:dyDescent="0.35">
      <c r="O487" s="33"/>
    </row>
    <row r="488" spans="15:15" x14ac:dyDescent="0.35">
      <c r="O488" s="33"/>
    </row>
    <row r="489" spans="15:15" x14ac:dyDescent="0.35">
      <c r="O489" s="33"/>
    </row>
    <row r="490" spans="15:15" x14ac:dyDescent="0.35">
      <c r="O490" s="33"/>
    </row>
    <row r="491" spans="15:15" x14ac:dyDescent="0.35">
      <c r="O491" s="34"/>
    </row>
    <row r="494" spans="15:15" x14ac:dyDescent="0.35">
      <c r="O494" s="33"/>
    </row>
    <row r="495" spans="15:15" x14ac:dyDescent="0.35">
      <c r="O495" s="33"/>
    </row>
    <row r="496" spans="15:15" x14ac:dyDescent="0.35">
      <c r="O496" s="33"/>
    </row>
    <row r="497" spans="15:15" x14ac:dyDescent="0.35">
      <c r="O497" s="33"/>
    </row>
    <row r="498" spans="15:15" x14ac:dyDescent="0.35">
      <c r="O498" s="33"/>
    </row>
    <row r="499" spans="15:15" x14ac:dyDescent="0.35">
      <c r="O499" s="34"/>
    </row>
    <row r="502" spans="15:15" x14ac:dyDescent="0.35">
      <c r="O502" s="33"/>
    </row>
    <row r="503" spans="15:15" x14ac:dyDescent="0.35">
      <c r="O503" s="33"/>
    </row>
    <row r="504" spans="15:15" x14ac:dyDescent="0.35">
      <c r="O504" s="33"/>
    </row>
    <row r="505" spans="15:15" x14ac:dyDescent="0.35">
      <c r="O505" s="33"/>
    </row>
    <row r="506" spans="15:15" x14ac:dyDescent="0.35">
      <c r="O506" s="33"/>
    </row>
    <row r="507" spans="15:15" x14ac:dyDescent="0.35">
      <c r="O507" s="34"/>
    </row>
    <row r="510" spans="15:15" x14ac:dyDescent="0.35">
      <c r="O510" s="33"/>
    </row>
    <row r="511" spans="15:15" x14ac:dyDescent="0.35">
      <c r="O511" s="33"/>
    </row>
    <row r="512" spans="15:15" x14ac:dyDescent="0.35">
      <c r="O512" s="33"/>
    </row>
    <row r="513" spans="15:15" x14ac:dyDescent="0.35">
      <c r="O513" s="33"/>
    </row>
    <row r="514" spans="15:15" x14ac:dyDescent="0.35">
      <c r="O514" s="33"/>
    </row>
    <row r="515" spans="15:15" x14ac:dyDescent="0.35">
      <c r="O515" s="34"/>
    </row>
    <row r="518" spans="15:15" x14ac:dyDescent="0.35">
      <c r="O518" s="33"/>
    </row>
    <row r="519" spans="15:15" x14ac:dyDescent="0.35">
      <c r="O519" s="33"/>
    </row>
    <row r="520" spans="15:15" x14ac:dyDescent="0.35">
      <c r="O520" s="33"/>
    </row>
    <row r="521" spans="15:15" x14ac:dyDescent="0.35">
      <c r="O521" s="33"/>
    </row>
    <row r="522" spans="15:15" x14ac:dyDescent="0.35">
      <c r="O522" s="33"/>
    </row>
    <row r="523" spans="15:15" x14ac:dyDescent="0.35">
      <c r="O523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Python2">
                <anchor moveWithCells="1" sizeWithCells="1">
                  <from>
                    <xdr:col>11</xdr:col>
                    <xdr:colOff>1181100</xdr:colOff>
                    <xdr:row>3</xdr:row>
                    <xdr:rowOff>349250</xdr:rowOff>
                  </from>
                  <to>
                    <xdr:col>13</xdr:col>
                    <xdr:colOff>355600</xdr:colOff>
                    <xdr:row>8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09BE3-454B-4F62-BD06-9483E4E4A87E}">
  <dimension ref="A1:Z8"/>
  <sheetViews>
    <sheetView workbookViewId="0">
      <selection activeCell="D13" sqref="D13"/>
    </sheetView>
  </sheetViews>
  <sheetFormatPr defaultRowHeight="14.5" x14ac:dyDescent="0.35"/>
  <cols>
    <col min="1" max="1" width="16.26953125" bestFit="1" customWidth="1"/>
    <col min="2" max="2" width="9.81640625" bestFit="1" customWidth="1"/>
    <col min="3" max="3" width="10.26953125" bestFit="1" customWidth="1"/>
    <col min="4" max="4" width="9.81640625" bestFit="1" customWidth="1"/>
    <col min="5" max="5" width="25.36328125" bestFit="1" customWidth="1"/>
    <col min="6" max="6" width="15.26953125" bestFit="1" customWidth="1"/>
    <col min="7" max="7" width="14.6328125" bestFit="1" customWidth="1"/>
  </cols>
  <sheetData>
    <row r="1" spans="1:26" x14ac:dyDescent="0.35">
      <c r="A1" s="41" t="s">
        <v>31</v>
      </c>
      <c r="B1" s="41" t="s">
        <v>24</v>
      </c>
      <c r="C1" s="41" t="s">
        <v>25</v>
      </c>
      <c r="D1" s="41" t="s">
        <v>26</v>
      </c>
      <c r="E1" s="41" t="s">
        <v>27</v>
      </c>
      <c r="F1" s="41" t="s">
        <v>28</v>
      </c>
      <c r="G1" s="41" t="s">
        <v>29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</row>
    <row r="2" spans="1:26" x14ac:dyDescent="0.35">
      <c r="A2" t="s">
        <v>45</v>
      </c>
      <c r="B2">
        <v>352362000</v>
      </c>
      <c r="C2">
        <v>91663000</v>
      </c>
      <c r="D2">
        <v>179741000</v>
      </c>
      <c r="E2">
        <v>-154309000</v>
      </c>
      <c r="F2">
        <v>-69770000</v>
      </c>
      <c r="G2">
        <v>26.01</v>
      </c>
    </row>
    <row r="3" spans="1:26" x14ac:dyDescent="0.35">
      <c r="A3" t="s">
        <v>45</v>
      </c>
      <c r="B3">
        <v>352362000</v>
      </c>
      <c r="C3">
        <v>91663000</v>
      </c>
      <c r="D3">
        <v>179741000</v>
      </c>
      <c r="E3">
        <v>-154309000</v>
      </c>
      <c r="F3">
        <v>-69770000</v>
      </c>
      <c r="G3">
        <v>26.01</v>
      </c>
    </row>
    <row r="4" spans="1:26" x14ac:dyDescent="0.35">
      <c r="A4" t="s">
        <v>45</v>
      </c>
      <c r="B4">
        <v>352362000</v>
      </c>
      <c r="C4">
        <v>91663000</v>
      </c>
      <c r="D4">
        <v>179741000</v>
      </c>
      <c r="E4">
        <v>-154309000</v>
      </c>
      <c r="F4">
        <v>-69770000</v>
      </c>
      <c r="G4">
        <v>26.01</v>
      </c>
    </row>
    <row r="5" spans="1:26" x14ac:dyDescent="0.35">
      <c r="A5" t="s">
        <v>45</v>
      </c>
      <c r="B5">
        <v>352362000</v>
      </c>
      <c r="C5">
        <v>91663000</v>
      </c>
      <c r="D5">
        <v>179741000</v>
      </c>
      <c r="E5">
        <v>-154309000</v>
      </c>
      <c r="F5">
        <v>-69770000</v>
      </c>
      <c r="G5">
        <v>26.01</v>
      </c>
    </row>
    <row r="6" spans="1:26" x14ac:dyDescent="0.35">
      <c r="A6" t="s">
        <v>45</v>
      </c>
      <c r="B6">
        <v>352362000</v>
      </c>
      <c r="C6">
        <v>91663000</v>
      </c>
      <c r="D6">
        <v>179741000</v>
      </c>
      <c r="E6">
        <v>-154309000</v>
      </c>
      <c r="F6">
        <v>-69770000</v>
      </c>
      <c r="G6">
        <v>26.01</v>
      </c>
    </row>
    <row r="7" spans="1:26" x14ac:dyDescent="0.35">
      <c r="A7" t="s">
        <v>45</v>
      </c>
      <c r="B7">
        <v>352362000</v>
      </c>
      <c r="C7">
        <v>91663000</v>
      </c>
      <c r="D7">
        <v>179741000</v>
      </c>
      <c r="E7">
        <v>-154309000</v>
      </c>
      <c r="F7">
        <v>-69770000</v>
      </c>
      <c r="G7">
        <v>26.01</v>
      </c>
    </row>
    <row r="8" spans="1:26" x14ac:dyDescent="0.35">
      <c r="A8" t="s">
        <v>45</v>
      </c>
      <c r="B8">
        <v>352362000</v>
      </c>
      <c r="C8">
        <v>91663000</v>
      </c>
      <c r="D8">
        <v>179741000</v>
      </c>
      <c r="E8">
        <v>-154309000</v>
      </c>
      <c r="F8">
        <v>-69770000</v>
      </c>
      <c r="G8">
        <v>26.01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C5B49-38BE-4DF2-BE8A-E43A05126738}">
  <sheetPr codeName="Sheet1"/>
  <dimension ref="A2:BD881"/>
  <sheetViews>
    <sheetView tabSelected="1" zoomScale="70" zoomScaleNormal="70" workbookViewId="0">
      <selection activeCell="I34" sqref="I34"/>
    </sheetView>
  </sheetViews>
  <sheetFormatPr defaultRowHeight="14.5" x14ac:dyDescent="0.35"/>
  <cols>
    <col min="1" max="1" width="13.453125" customWidth="1"/>
    <col min="2" max="2" width="17.1796875" customWidth="1"/>
    <col min="10" max="10" width="31.54296875" customWidth="1"/>
    <col min="11" max="13" width="20.54296875" customWidth="1"/>
    <col min="14" max="14" width="22.54296875" customWidth="1"/>
    <col min="15" max="15" width="20.54296875" customWidth="1"/>
    <col min="16" max="16" width="17.08984375" customWidth="1"/>
    <col min="19" max="19" width="15.54296875" bestFit="1" customWidth="1"/>
  </cols>
  <sheetData>
    <row r="2" spans="1:56" x14ac:dyDescent="0.35">
      <c r="J2" s="39" t="s">
        <v>37</v>
      </c>
      <c r="K2" s="39"/>
      <c r="L2" s="39"/>
      <c r="M2" s="39"/>
    </row>
    <row r="3" spans="1:56" x14ac:dyDescent="0.35">
      <c r="A3" t="s">
        <v>39</v>
      </c>
      <c r="J3" s="35" t="s">
        <v>31</v>
      </c>
      <c r="K3" s="35" t="s">
        <v>24</v>
      </c>
      <c r="L3" s="35" t="s">
        <v>25</v>
      </c>
      <c r="M3" s="35" t="s">
        <v>26</v>
      </c>
      <c r="N3" s="35" t="s">
        <v>32</v>
      </c>
      <c r="O3" s="35" t="s">
        <v>28</v>
      </c>
      <c r="P3" s="35" t="s">
        <v>29</v>
      </c>
    </row>
    <row r="4" spans="1:56" x14ac:dyDescent="0.35">
      <c r="A4" t="s">
        <v>24</v>
      </c>
      <c r="B4" s="33">
        <v>1010400000</v>
      </c>
      <c r="J4" s="36" t="s">
        <v>33</v>
      </c>
      <c r="K4" s="37">
        <v>1010400000</v>
      </c>
      <c r="L4" s="37">
        <v>403300000</v>
      </c>
      <c r="M4" s="37">
        <v>176600000</v>
      </c>
      <c r="N4" s="37">
        <v>-38900000</v>
      </c>
      <c r="O4" s="37">
        <v>242000000</v>
      </c>
      <c r="P4" s="38">
        <v>0.4</v>
      </c>
    </row>
    <row r="5" spans="1:56" x14ac:dyDescent="0.35">
      <c r="A5" t="s">
        <v>25</v>
      </c>
      <c r="B5" s="33">
        <v>859900000</v>
      </c>
      <c r="J5" s="36" t="s">
        <v>6</v>
      </c>
      <c r="K5" s="37">
        <v>1071526000</v>
      </c>
      <c r="L5" s="37">
        <v>312369000</v>
      </c>
      <c r="M5" s="37">
        <v>234831000</v>
      </c>
      <c r="N5" s="37">
        <v>27224000</v>
      </c>
      <c r="O5" s="37">
        <v>112489000</v>
      </c>
      <c r="P5" s="38">
        <v>0.28999999999999998</v>
      </c>
      <c r="S5" s="33"/>
    </row>
    <row r="6" spans="1:56" x14ac:dyDescent="0.35">
      <c r="A6" t="s">
        <v>26</v>
      </c>
      <c r="B6" s="33">
        <v>390400000</v>
      </c>
      <c r="J6" s="36" t="s">
        <v>34</v>
      </c>
      <c r="K6" s="37">
        <v>963900000</v>
      </c>
      <c r="L6" s="37">
        <v>375400000</v>
      </c>
      <c r="M6" s="37">
        <v>192600000</v>
      </c>
      <c r="N6" s="37">
        <v>38700000</v>
      </c>
      <c r="O6" s="37">
        <v>217300000</v>
      </c>
      <c r="P6" s="38">
        <v>0.39</v>
      </c>
      <c r="S6" s="33"/>
      <c r="T6" s="33"/>
      <c r="U6" s="33"/>
      <c r="V6" s="33"/>
      <c r="W6" s="33"/>
      <c r="X6" s="34"/>
      <c r="AA6" s="33"/>
      <c r="AB6" s="33"/>
      <c r="AC6" s="33"/>
      <c r="AD6" s="33"/>
      <c r="AE6" s="33"/>
      <c r="AF6" s="34"/>
      <c r="AI6" s="33"/>
      <c r="AJ6" s="33"/>
      <c r="AK6" s="33"/>
      <c r="AL6" s="33"/>
      <c r="AM6" s="33"/>
      <c r="AN6" s="34"/>
      <c r="AQ6" s="33"/>
      <c r="AR6" s="33"/>
      <c r="AS6" s="33"/>
      <c r="AT6" s="33"/>
      <c r="AU6" s="33"/>
      <c r="AV6" s="34"/>
      <c r="AY6" s="33"/>
      <c r="AZ6" s="33"/>
      <c r="BA6" s="33"/>
      <c r="BB6" s="33"/>
      <c r="BC6" s="33"/>
      <c r="BD6" s="34"/>
    </row>
    <row r="7" spans="1:56" x14ac:dyDescent="0.35">
      <c r="A7" t="s">
        <v>27</v>
      </c>
      <c r="B7" s="33">
        <v>567700000</v>
      </c>
      <c r="J7" s="36" t="s">
        <v>35</v>
      </c>
      <c r="K7" s="37">
        <v>1177300000</v>
      </c>
      <c r="L7" s="37">
        <v>272500000</v>
      </c>
      <c r="M7" s="37">
        <v>167500000</v>
      </c>
      <c r="N7" s="37">
        <v>55200000</v>
      </c>
      <c r="O7" s="37">
        <v>103300000</v>
      </c>
      <c r="P7" s="38">
        <v>0.23</v>
      </c>
    </row>
    <row r="8" spans="1:56" x14ac:dyDescent="0.35">
      <c r="A8" t="s">
        <v>28</v>
      </c>
      <c r="B8" s="33">
        <v>443400000</v>
      </c>
      <c r="J8" s="36" t="s">
        <v>12</v>
      </c>
      <c r="K8" s="37">
        <v>228841000</v>
      </c>
      <c r="L8" s="37">
        <v>113375000</v>
      </c>
      <c r="M8" s="37">
        <v>65117000</v>
      </c>
      <c r="N8" s="37">
        <v>-5850000</v>
      </c>
      <c r="O8" s="37">
        <v>24695000</v>
      </c>
      <c r="P8" s="38">
        <v>0.5</v>
      </c>
    </row>
    <row r="9" spans="1:56" x14ac:dyDescent="0.35">
      <c r="A9" t="s">
        <v>29</v>
      </c>
      <c r="B9" s="34">
        <v>0.85</v>
      </c>
      <c r="J9" s="36" t="s">
        <v>13</v>
      </c>
      <c r="K9" s="37">
        <v>111420000</v>
      </c>
      <c r="L9" s="37">
        <v>32881000</v>
      </c>
      <c r="M9" s="37">
        <v>30620000</v>
      </c>
      <c r="N9" s="37">
        <v>-46882000</v>
      </c>
      <c r="O9" s="37">
        <v>18633000</v>
      </c>
      <c r="P9" s="38">
        <v>0.3</v>
      </c>
    </row>
    <row r="10" spans="1:56" x14ac:dyDescent="0.35">
      <c r="J10" s="36" t="s">
        <v>36</v>
      </c>
      <c r="K10" s="37">
        <v>352362000</v>
      </c>
      <c r="L10" s="37">
        <v>91663000</v>
      </c>
      <c r="M10" s="37">
        <v>179741000</v>
      </c>
      <c r="N10" s="37">
        <v>-154309000</v>
      </c>
      <c r="O10" s="37">
        <v>-69770000</v>
      </c>
      <c r="P10" s="38">
        <v>0.26</v>
      </c>
    </row>
    <row r="11" spans="1:56" x14ac:dyDescent="0.35">
      <c r="A11" t="s">
        <v>40</v>
      </c>
    </row>
    <row r="12" spans="1:56" x14ac:dyDescent="0.35">
      <c r="A12" t="s">
        <v>24</v>
      </c>
      <c r="B12" s="33">
        <v>1071526000</v>
      </c>
    </row>
    <row r="13" spans="1:56" x14ac:dyDescent="0.35">
      <c r="A13" t="s">
        <v>25</v>
      </c>
      <c r="B13" s="33">
        <v>312369000</v>
      </c>
      <c r="N13" s="33"/>
    </row>
    <row r="14" spans="1:56" x14ac:dyDescent="0.35">
      <c r="A14" t="s">
        <v>26</v>
      </c>
      <c r="B14" s="33">
        <v>234831000</v>
      </c>
      <c r="N14" s="33"/>
    </row>
    <row r="15" spans="1:56" x14ac:dyDescent="0.35">
      <c r="A15" t="s">
        <v>27</v>
      </c>
      <c r="B15" s="33">
        <v>27224000</v>
      </c>
      <c r="N15" s="33"/>
    </row>
    <row r="16" spans="1:56" x14ac:dyDescent="0.35">
      <c r="A16" t="s">
        <v>28</v>
      </c>
      <c r="B16" s="33">
        <v>112489000</v>
      </c>
      <c r="N16" s="33"/>
    </row>
    <row r="17" spans="1:14" x14ac:dyDescent="0.35">
      <c r="A17" t="s">
        <v>29</v>
      </c>
      <c r="B17" s="34">
        <v>0.28999999999999998</v>
      </c>
      <c r="N17" s="33"/>
    </row>
    <row r="18" spans="1:14" x14ac:dyDescent="0.35">
      <c r="N18" s="34"/>
    </row>
    <row r="19" spans="1:14" x14ac:dyDescent="0.35">
      <c r="A19" t="s">
        <v>41</v>
      </c>
    </row>
    <row r="20" spans="1:14" x14ac:dyDescent="0.35">
      <c r="A20" t="s">
        <v>24</v>
      </c>
      <c r="B20" s="33">
        <v>1975200000</v>
      </c>
    </row>
    <row r="21" spans="1:14" x14ac:dyDescent="0.35">
      <c r="A21" t="s">
        <v>25</v>
      </c>
      <c r="B21" s="33">
        <v>772500000</v>
      </c>
      <c r="N21" s="33"/>
    </row>
    <row r="22" spans="1:14" x14ac:dyDescent="0.35">
      <c r="A22" t="s">
        <v>26</v>
      </c>
      <c r="B22" s="33">
        <v>383900000</v>
      </c>
      <c r="N22" s="33"/>
    </row>
    <row r="23" spans="1:14" x14ac:dyDescent="0.35">
      <c r="A23" t="s">
        <v>27</v>
      </c>
      <c r="B23" s="33">
        <v>178300000</v>
      </c>
      <c r="N23" s="33"/>
    </row>
    <row r="24" spans="1:14" x14ac:dyDescent="0.35">
      <c r="A24" t="s">
        <v>28</v>
      </c>
      <c r="B24" s="33">
        <v>444000000</v>
      </c>
      <c r="N24" s="33"/>
    </row>
    <row r="25" spans="1:14" x14ac:dyDescent="0.35">
      <c r="A25" t="s">
        <v>29</v>
      </c>
      <c r="B25" s="34">
        <v>0.39</v>
      </c>
      <c r="N25" s="33"/>
    </row>
    <row r="26" spans="1:14" x14ac:dyDescent="0.35">
      <c r="N26" s="34"/>
    </row>
    <row r="27" spans="1:14" x14ac:dyDescent="0.35">
      <c r="A27" t="s">
        <v>42</v>
      </c>
    </row>
    <row r="28" spans="1:14" x14ac:dyDescent="0.35">
      <c r="A28" t="s">
        <v>24</v>
      </c>
      <c r="B28" s="33">
        <v>1177300000</v>
      </c>
    </row>
    <row r="29" spans="1:14" x14ac:dyDescent="0.35">
      <c r="A29" t="s">
        <v>25</v>
      </c>
      <c r="B29" s="33">
        <v>272500000</v>
      </c>
      <c r="N29" s="33"/>
    </row>
    <row r="30" spans="1:14" x14ac:dyDescent="0.35">
      <c r="A30" t="s">
        <v>26</v>
      </c>
      <c r="B30" s="33">
        <v>167500000</v>
      </c>
      <c r="N30" s="33" t="s">
        <v>38</v>
      </c>
    </row>
    <row r="31" spans="1:14" x14ac:dyDescent="0.35">
      <c r="A31" t="s">
        <v>27</v>
      </c>
      <c r="B31" s="33">
        <v>55200000</v>
      </c>
      <c r="N31" s="33"/>
    </row>
    <row r="32" spans="1:14" x14ac:dyDescent="0.35">
      <c r="A32" t="s">
        <v>28</v>
      </c>
      <c r="B32" s="33">
        <v>103300000</v>
      </c>
      <c r="N32" s="33"/>
    </row>
    <row r="33" spans="1:15" x14ac:dyDescent="0.35">
      <c r="A33" t="s">
        <v>29</v>
      </c>
      <c r="B33" s="34">
        <v>0.23</v>
      </c>
      <c r="L33" t="s">
        <v>30</v>
      </c>
      <c r="N33" s="33"/>
    </row>
    <row r="34" spans="1:15" x14ac:dyDescent="0.35">
      <c r="N34" s="34"/>
    </row>
    <row r="35" spans="1:15" x14ac:dyDescent="0.35">
      <c r="A35" t="s">
        <v>43</v>
      </c>
    </row>
    <row r="36" spans="1:15" x14ac:dyDescent="0.35">
      <c r="A36" t="s">
        <v>24</v>
      </c>
      <c r="B36" s="33">
        <v>228841000</v>
      </c>
    </row>
    <row r="37" spans="1:15" x14ac:dyDescent="0.35">
      <c r="A37" t="s">
        <v>25</v>
      </c>
      <c r="B37" s="33">
        <v>113375000</v>
      </c>
      <c r="N37" s="33"/>
    </row>
    <row r="38" spans="1:15" x14ac:dyDescent="0.35">
      <c r="A38" t="s">
        <v>26</v>
      </c>
      <c r="B38" s="33">
        <v>65117000</v>
      </c>
      <c r="N38" s="33"/>
    </row>
    <row r="39" spans="1:15" x14ac:dyDescent="0.35">
      <c r="A39" t="s">
        <v>27</v>
      </c>
      <c r="B39" s="33">
        <v>-5850000</v>
      </c>
      <c r="N39" s="33"/>
    </row>
    <row r="40" spans="1:15" x14ac:dyDescent="0.35">
      <c r="A40" t="s">
        <v>28</v>
      </c>
      <c r="B40" s="33">
        <v>24695000</v>
      </c>
      <c r="M40" s="35"/>
      <c r="N40" s="35"/>
      <c r="O40" s="35"/>
    </row>
    <row r="41" spans="1:15" x14ac:dyDescent="0.35">
      <c r="A41" t="s">
        <v>29</v>
      </c>
      <c r="B41" s="34">
        <v>0.5</v>
      </c>
      <c r="M41" s="40"/>
      <c r="N41" s="36"/>
      <c r="O41" s="36"/>
    </row>
    <row r="42" spans="1:15" x14ac:dyDescent="0.35">
      <c r="M42" s="40"/>
      <c r="N42" s="36"/>
      <c r="O42" s="36"/>
    </row>
    <row r="43" spans="1:15" x14ac:dyDescent="0.35">
      <c r="A43" t="s">
        <v>44</v>
      </c>
      <c r="M43" s="40"/>
      <c r="N43" s="36"/>
      <c r="O43" s="36"/>
    </row>
    <row r="44" spans="1:15" x14ac:dyDescent="0.35">
      <c r="A44" t="s">
        <v>24</v>
      </c>
      <c r="B44" s="33">
        <v>111420000</v>
      </c>
      <c r="M44" s="40"/>
      <c r="N44" s="36"/>
      <c r="O44" s="36"/>
    </row>
    <row r="45" spans="1:15" x14ac:dyDescent="0.35">
      <c r="A45" t="s">
        <v>25</v>
      </c>
      <c r="B45" s="33">
        <v>32881000</v>
      </c>
      <c r="M45" s="40"/>
      <c r="N45" s="36"/>
      <c r="O45" s="36"/>
    </row>
    <row r="46" spans="1:15" x14ac:dyDescent="0.35">
      <c r="A46" t="s">
        <v>26</v>
      </c>
      <c r="B46" s="33">
        <v>30620000</v>
      </c>
      <c r="M46" s="40"/>
      <c r="N46" s="36"/>
      <c r="O46" s="36"/>
    </row>
    <row r="47" spans="1:15" x14ac:dyDescent="0.35">
      <c r="A47" t="s">
        <v>27</v>
      </c>
      <c r="B47" s="33">
        <v>-46882000</v>
      </c>
      <c r="M47" s="40"/>
      <c r="N47" s="36"/>
      <c r="O47" s="36"/>
    </row>
    <row r="48" spans="1:15" x14ac:dyDescent="0.35">
      <c r="A48" t="s">
        <v>28</v>
      </c>
      <c r="B48" s="33">
        <v>18633000</v>
      </c>
      <c r="M48" s="40"/>
      <c r="N48" s="36"/>
      <c r="O48" s="36"/>
    </row>
    <row r="49" spans="1:15" x14ac:dyDescent="0.35">
      <c r="A49" t="s">
        <v>29</v>
      </c>
      <c r="B49" s="34">
        <v>0.3</v>
      </c>
      <c r="M49" s="40"/>
      <c r="N49" s="36"/>
      <c r="O49" s="36"/>
    </row>
    <row r="50" spans="1:15" x14ac:dyDescent="0.35">
      <c r="M50" s="40"/>
      <c r="N50" s="36"/>
      <c r="O50" s="36"/>
    </row>
    <row r="51" spans="1:15" x14ac:dyDescent="0.35">
      <c r="A51" t="s">
        <v>23</v>
      </c>
    </row>
    <row r="52" spans="1:15" x14ac:dyDescent="0.35">
      <c r="A52" t="s">
        <v>24</v>
      </c>
      <c r="B52" s="33">
        <v>352362000</v>
      </c>
    </row>
    <row r="53" spans="1:15" x14ac:dyDescent="0.35">
      <c r="A53" t="s">
        <v>25</v>
      </c>
      <c r="B53" s="33">
        <v>91663000</v>
      </c>
      <c r="N53" s="33"/>
    </row>
    <row r="54" spans="1:15" x14ac:dyDescent="0.35">
      <c r="A54" t="s">
        <v>26</v>
      </c>
      <c r="B54" s="33">
        <v>179741000</v>
      </c>
      <c r="N54" s="33"/>
    </row>
    <row r="55" spans="1:15" x14ac:dyDescent="0.35">
      <c r="A55" t="s">
        <v>27</v>
      </c>
      <c r="B55" s="33">
        <v>-154309000</v>
      </c>
      <c r="N55" s="33"/>
    </row>
    <row r="56" spans="1:15" x14ac:dyDescent="0.35">
      <c r="A56" t="s">
        <v>28</v>
      </c>
      <c r="B56" s="33">
        <v>-69770000</v>
      </c>
      <c r="N56" s="33"/>
    </row>
    <row r="57" spans="1:15" x14ac:dyDescent="0.35">
      <c r="A57" t="s">
        <v>29</v>
      </c>
      <c r="B57" s="34">
        <v>0.26</v>
      </c>
      <c r="N57" s="33"/>
    </row>
    <row r="58" spans="1:15" x14ac:dyDescent="0.35">
      <c r="N58" s="34"/>
    </row>
    <row r="60" spans="1:15" x14ac:dyDescent="0.35">
      <c r="B60" s="33"/>
    </row>
    <row r="61" spans="1:15" x14ac:dyDescent="0.35">
      <c r="B61" s="33"/>
      <c r="N61" s="33"/>
    </row>
    <row r="62" spans="1:15" x14ac:dyDescent="0.35">
      <c r="B62" s="33"/>
      <c r="N62" s="33"/>
    </row>
    <row r="63" spans="1:15" x14ac:dyDescent="0.35">
      <c r="B63" s="33"/>
      <c r="N63" s="33"/>
    </row>
    <row r="64" spans="1:15" x14ac:dyDescent="0.35">
      <c r="B64" s="33"/>
      <c r="N64" s="33"/>
    </row>
    <row r="65" spans="2:14" x14ac:dyDescent="0.35">
      <c r="B65" s="34"/>
      <c r="N65" s="33"/>
    </row>
    <row r="66" spans="2:14" x14ac:dyDescent="0.35">
      <c r="N66" s="34"/>
    </row>
    <row r="68" spans="2:14" x14ac:dyDescent="0.35">
      <c r="B68" s="33"/>
    </row>
    <row r="69" spans="2:14" x14ac:dyDescent="0.35">
      <c r="B69" s="33"/>
    </row>
    <row r="70" spans="2:14" x14ac:dyDescent="0.35">
      <c r="B70" s="33"/>
    </row>
    <row r="71" spans="2:14" x14ac:dyDescent="0.35">
      <c r="B71" s="33"/>
    </row>
    <row r="72" spans="2:14" x14ac:dyDescent="0.35">
      <c r="B72" s="33"/>
    </row>
    <row r="73" spans="2:14" x14ac:dyDescent="0.35">
      <c r="B73" s="34"/>
    </row>
    <row r="76" spans="2:14" x14ac:dyDescent="0.35">
      <c r="B76" s="33"/>
    </row>
    <row r="77" spans="2:14" x14ac:dyDescent="0.35">
      <c r="B77" s="33"/>
    </row>
    <row r="78" spans="2:14" x14ac:dyDescent="0.35">
      <c r="B78" s="33"/>
    </row>
    <row r="79" spans="2:14" x14ac:dyDescent="0.35">
      <c r="B79" s="33"/>
    </row>
    <row r="80" spans="2:14" x14ac:dyDescent="0.35">
      <c r="B80" s="33"/>
    </row>
    <row r="81" spans="2:2" x14ac:dyDescent="0.35">
      <c r="B81" s="34"/>
    </row>
    <row r="84" spans="2:2" x14ac:dyDescent="0.35">
      <c r="B84" s="33"/>
    </row>
    <row r="85" spans="2:2" x14ac:dyDescent="0.35">
      <c r="B85" s="33"/>
    </row>
    <row r="86" spans="2:2" x14ac:dyDescent="0.35">
      <c r="B86" s="33"/>
    </row>
    <row r="87" spans="2:2" x14ac:dyDescent="0.35">
      <c r="B87" s="33"/>
    </row>
    <row r="88" spans="2:2" x14ac:dyDescent="0.35">
      <c r="B88" s="33"/>
    </row>
    <row r="89" spans="2:2" x14ac:dyDescent="0.35">
      <c r="B89" s="34"/>
    </row>
    <row r="92" spans="2:2" x14ac:dyDescent="0.35">
      <c r="B92" s="33"/>
    </row>
    <row r="93" spans="2:2" x14ac:dyDescent="0.35">
      <c r="B93" s="33"/>
    </row>
    <row r="94" spans="2:2" x14ac:dyDescent="0.35">
      <c r="B94" s="33"/>
    </row>
    <row r="95" spans="2:2" x14ac:dyDescent="0.35">
      <c r="B95" s="33"/>
    </row>
    <row r="96" spans="2:2" x14ac:dyDescent="0.35">
      <c r="B96" s="33"/>
    </row>
    <row r="97" spans="2:2" x14ac:dyDescent="0.35">
      <c r="B97" s="34"/>
    </row>
    <row r="100" spans="2:2" x14ac:dyDescent="0.35">
      <c r="B100" s="33"/>
    </row>
    <row r="101" spans="2:2" x14ac:dyDescent="0.35">
      <c r="B101" s="33"/>
    </row>
    <row r="102" spans="2:2" x14ac:dyDescent="0.35">
      <c r="B102" s="33"/>
    </row>
    <row r="103" spans="2:2" x14ac:dyDescent="0.35">
      <c r="B103" s="33"/>
    </row>
    <row r="104" spans="2:2" x14ac:dyDescent="0.35">
      <c r="B104" s="33"/>
    </row>
    <row r="105" spans="2:2" x14ac:dyDescent="0.35">
      <c r="B105" s="34"/>
    </row>
    <row r="108" spans="2:2" x14ac:dyDescent="0.35">
      <c r="B108" s="33"/>
    </row>
    <row r="109" spans="2:2" x14ac:dyDescent="0.35">
      <c r="B109" s="33"/>
    </row>
    <row r="110" spans="2:2" x14ac:dyDescent="0.35">
      <c r="B110" s="33"/>
    </row>
    <row r="111" spans="2:2" x14ac:dyDescent="0.35">
      <c r="B111" s="33"/>
    </row>
    <row r="112" spans="2:2" x14ac:dyDescent="0.35">
      <c r="B112" s="33"/>
    </row>
    <row r="113" spans="2:2" x14ac:dyDescent="0.35">
      <c r="B113" s="34"/>
    </row>
    <row r="116" spans="2:2" x14ac:dyDescent="0.35">
      <c r="B116" s="33"/>
    </row>
    <row r="117" spans="2:2" x14ac:dyDescent="0.35">
      <c r="B117" s="33"/>
    </row>
    <row r="118" spans="2:2" x14ac:dyDescent="0.35">
      <c r="B118" s="33"/>
    </row>
    <row r="119" spans="2:2" x14ac:dyDescent="0.35">
      <c r="B119" s="33"/>
    </row>
    <row r="120" spans="2:2" x14ac:dyDescent="0.35">
      <c r="B120" s="33"/>
    </row>
    <row r="121" spans="2:2" x14ac:dyDescent="0.35">
      <c r="B121" s="34"/>
    </row>
    <row r="124" spans="2:2" x14ac:dyDescent="0.35">
      <c r="B124" s="33"/>
    </row>
    <row r="125" spans="2:2" x14ac:dyDescent="0.35">
      <c r="B125" s="33"/>
    </row>
    <row r="126" spans="2:2" x14ac:dyDescent="0.35">
      <c r="B126" s="33"/>
    </row>
    <row r="127" spans="2:2" x14ac:dyDescent="0.35">
      <c r="B127" s="33"/>
    </row>
    <row r="128" spans="2:2" x14ac:dyDescent="0.35">
      <c r="B128" s="33"/>
    </row>
    <row r="129" spans="2:2" x14ac:dyDescent="0.35">
      <c r="B129" s="34"/>
    </row>
    <row r="132" spans="2:2" x14ac:dyDescent="0.35">
      <c r="B132" s="33"/>
    </row>
    <row r="133" spans="2:2" x14ac:dyDescent="0.35">
      <c r="B133" s="33"/>
    </row>
    <row r="134" spans="2:2" x14ac:dyDescent="0.35">
      <c r="B134" s="33"/>
    </row>
    <row r="135" spans="2:2" x14ac:dyDescent="0.35">
      <c r="B135" s="33"/>
    </row>
    <row r="136" spans="2:2" x14ac:dyDescent="0.35">
      <c r="B136" s="33"/>
    </row>
    <row r="137" spans="2:2" x14ac:dyDescent="0.35">
      <c r="B137" s="34"/>
    </row>
    <row r="140" spans="2:2" x14ac:dyDescent="0.35">
      <c r="B140" s="33"/>
    </row>
    <row r="141" spans="2:2" x14ac:dyDescent="0.35">
      <c r="B141" s="33"/>
    </row>
    <row r="142" spans="2:2" x14ac:dyDescent="0.35">
      <c r="B142" s="33"/>
    </row>
    <row r="143" spans="2:2" x14ac:dyDescent="0.35">
      <c r="B143" s="33"/>
    </row>
    <row r="144" spans="2:2" x14ac:dyDescent="0.35">
      <c r="B144" s="33"/>
    </row>
    <row r="145" spans="2:2" x14ac:dyDescent="0.35">
      <c r="B145" s="34"/>
    </row>
    <row r="148" spans="2:2" x14ac:dyDescent="0.35">
      <c r="B148" s="33"/>
    </row>
    <row r="149" spans="2:2" x14ac:dyDescent="0.35">
      <c r="B149" s="33"/>
    </row>
    <row r="150" spans="2:2" x14ac:dyDescent="0.35">
      <c r="B150" s="33"/>
    </row>
    <row r="151" spans="2:2" x14ac:dyDescent="0.35">
      <c r="B151" s="33"/>
    </row>
    <row r="152" spans="2:2" x14ac:dyDescent="0.35">
      <c r="B152" s="33"/>
    </row>
    <row r="153" spans="2:2" x14ac:dyDescent="0.35">
      <c r="B153" s="34"/>
    </row>
    <row r="156" spans="2:2" x14ac:dyDescent="0.35">
      <c r="B156" s="33"/>
    </row>
    <row r="157" spans="2:2" x14ac:dyDescent="0.35">
      <c r="B157" s="33"/>
    </row>
    <row r="158" spans="2:2" x14ac:dyDescent="0.35">
      <c r="B158" s="33"/>
    </row>
    <row r="159" spans="2:2" x14ac:dyDescent="0.35">
      <c r="B159" s="33"/>
    </row>
    <row r="160" spans="2:2" x14ac:dyDescent="0.35">
      <c r="B160" s="33"/>
    </row>
    <row r="161" spans="2:2" x14ac:dyDescent="0.35">
      <c r="B161" s="34"/>
    </row>
    <row r="164" spans="2:2" x14ac:dyDescent="0.35">
      <c r="B164" s="33"/>
    </row>
    <row r="165" spans="2:2" x14ac:dyDescent="0.35">
      <c r="B165" s="33"/>
    </row>
    <row r="166" spans="2:2" x14ac:dyDescent="0.35">
      <c r="B166" s="33"/>
    </row>
    <row r="167" spans="2:2" x14ac:dyDescent="0.35">
      <c r="B167" s="33"/>
    </row>
    <row r="168" spans="2:2" x14ac:dyDescent="0.35">
      <c r="B168" s="33"/>
    </row>
    <row r="169" spans="2:2" x14ac:dyDescent="0.35">
      <c r="B169" s="34"/>
    </row>
    <row r="172" spans="2:2" x14ac:dyDescent="0.35">
      <c r="B172" s="33"/>
    </row>
    <row r="173" spans="2:2" x14ac:dyDescent="0.35">
      <c r="B173" s="33"/>
    </row>
    <row r="174" spans="2:2" x14ac:dyDescent="0.35">
      <c r="B174" s="33"/>
    </row>
    <row r="175" spans="2:2" x14ac:dyDescent="0.35">
      <c r="B175" s="33"/>
    </row>
    <row r="176" spans="2:2" x14ac:dyDescent="0.35">
      <c r="B176" s="33"/>
    </row>
    <row r="177" spans="2:2" x14ac:dyDescent="0.35">
      <c r="B177" s="34"/>
    </row>
    <row r="180" spans="2:2" x14ac:dyDescent="0.35">
      <c r="B180" s="33"/>
    </row>
    <row r="181" spans="2:2" x14ac:dyDescent="0.35">
      <c r="B181" s="33"/>
    </row>
    <row r="182" spans="2:2" x14ac:dyDescent="0.35">
      <c r="B182" s="33"/>
    </row>
    <row r="183" spans="2:2" x14ac:dyDescent="0.35">
      <c r="B183" s="33"/>
    </row>
    <row r="184" spans="2:2" x14ac:dyDescent="0.35">
      <c r="B184" s="33"/>
    </row>
    <row r="185" spans="2:2" x14ac:dyDescent="0.35">
      <c r="B185" s="34"/>
    </row>
    <row r="188" spans="2:2" x14ac:dyDescent="0.35">
      <c r="B188" s="33"/>
    </row>
    <row r="189" spans="2:2" x14ac:dyDescent="0.35">
      <c r="B189" s="33"/>
    </row>
    <row r="190" spans="2:2" x14ac:dyDescent="0.35">
      <c r="B190" s="33"/>
    </row>
    <row r="191" spans="2:2" x14ac:dyDescent="0.35">
      <c r="B191" s="33"/>
    </row>
    <row r="192" spans="2:2" x14ac:dyDescent="0.35">
      <c r="B192" s="33"/>
    </row>
    <row r="193" spans="2:2" x14ac:dyDescent="0.35">
      <c r="B193" s="34"/>
    </row>
    <row r="196" spans="2:2" x14ac:dyDescent="0.35">
      <c r="B196" s="33"/>
    </row>
    <row r="197" spans="2:2" x14ac:dyDescent="0.35">
      <c r="B197" s="33"/>
    </row>
    <row r="198" spans="2:2" x14ac:dyDescent="0.35">
      <c r="B198" s="33"/>
    </row>
    <row r="199" spans="2:2" x14ac:dyDescent="0.35">
      <c r="B199" s="33"/>
    </row>
    <row r="200" spans="2:2" x14ac:dyDescent="0.35">
      <c r="B200" s="33"/>
    </row>
    <row r="201" spans="2:2" x14ac:dyDescent="0.35">
      <c r="B201" s="34"/>
    </row>
    <row r="204" spans="2:2" x14ac:dyDescent="0.35">
      <c r="B204" s="33"/>
    </row>
    <row r="205" spans="2:2" x14ac:dyDescent="0.35">
      <c r="B205" s="33"/>
    </row>
    <row r="206" spans="2:2" x14ac:dyDescent="0.35">
      <c r="B206" s="33"/>
    </row>
    <row r="207" spans="2:2" x14ac:dyDescent="0.35">
      <c r="B207" s="33"/>
    </row>
    <row r="208" spans="2:2" x14ac:dyDescent="0.35">
      <c r="B208" s="33"/>
    </row>
    <row r="209" spans="2:2" x14ac:dyDescent="0.35">
      <c r="B209" s="34"/>
    </row>
    <row r="212" spans="2:2" x14ac:dyDescent="0.35">
      <c r="B212" s="33"/>
    </row>
    <row r="213" spans="2:2" x14ac:dyDescent="0.35">
      <c r="B213" s="33"/>
    </row>
    <row r="214" spans="2:2" x14ac:dyDescent="0.35">
      <c r="B214" s="33"/>
    </row>
    <row r="215" spans="2:2" x14ac:dyDescent="0.35">
      <c r="B215" s="33"/>
    </row>
    <row r="216" spans="2:2" x14ac:dyDescent="0.35">
      <c r="B216" s="33"/>
    </row>
    <row r="217" spans="2:2" x14ac:dyDescent="0.35">
      <c r="B217" s="34"/>
    </row>
    <row r="220" spans="2:2" x14ac:dyDescent="0.35">
      <c r="B220" s="33"/>
    </row>
    <row r="221" spans="2:2" x14ac:dyDescent="0.35">
      <c r="B221" s="33"/>
    </row>
    <row r="222" spans="2:2" x14ac:dyDescent="0.35">
      <c r="B222" s="33"/>
    </row>
    <row r="223" spans="2:2" x14ac:dyDescent="0.35">
      <c r="B223" s="33"/>
    </row>
    <row r="224" spans="2:2" x14ac:dyDescent="0.35">
      <c r="B224" s="33"/>
    </row>
    <row r="225" spans="2:2" x14ac:dyDescent="0.35">
      <c r="B225" s="34"/>
    </row>
    <row r="228" spans="2:2" x14ac:dyDescent="0.35">
      <c r="B228" s="33"/>
    </row>
    <row r="229" spans="2:2" x14ac:dyDescent="0.35">
      <c r="B229" s="33"/>
    </row>
    <row r="230" spans="2:2" x14ac:dyDescent="0.35">
      <c r="B230" s="33"/>
    </row>
    <row r="231" spans="2:2" x14ac:dyDescent="0.35">
      <c r="B231" s="33"/>
    </row>
    <row r="232" spans="2:2" x14ac:dyDescent="0.35">
      <c r="B232" s="33"/>
    </row>
    <row r="233" spans="2:2" x14ac:dyDescent="0.35">
      <c r="B233" s="34"/>
    </row>
    <row r="236" spans="2:2" x14ac:dyDescent="0.35">
      <c r="B236" s="33"/>
    </row>
    <row r="237" spans="2:2" x14ac:dyDescent="0.35">
      <c r="B237" s="33"/>
    </row>
    <row r="238" spans="2:2" x14ac:dyDescent="0.35">
      <c r="B238" s="33"/>
    </row>
    <row r="239" spans="2:2" x14ac:dyDescent="0.35">
      <c r="B239" s="33"/>
    </row>
    <row r="240" spans="2:2" x14ac:dyDescent="0.35">
      <c r="B240" s="33"/>
    </row>
    <row r="241" spans="2:2" x14ac:dyDescent="0.35">
      <c r="B241" s="34"/>
    </row>
    <row r="244" spans="2:2" x14ac:dyDescent="0.35">
      <c r="B244" s="33"/>
    </row>
    <row r="245" spans="2:2" x14ac:dyDescent="0.35">
      <c r="B245" s="33"/>
    </row>
    <row r="246" spans="2:2" x14ac:dyDescent="0.35">
      <c r="B246" s="33"/>
    </row>
    <row r="247" spans="2:2" x14ac:dyDescent="0.35">
      <c r="B247" s="33"/>
    </row>
    <row r="248" spans="2:2" x14ac:dyDescent="0.35">
      <c r="B248" s="33"/>
    </row>
    <row r="249" spans="2:2" x14ac:dyDescent="0.35">
      <c r="B249" s="34"/>
    </row>
    <row r="252" spans="2:2" x14ac:dyDescent="0.35">
      <c r="B252" s="33"/>
    </row>
    <row r="253" spans="2:2" x14ac:dyDescent="0.35">
      <c r="B253" s="33"/>
    </row>
    <row r="254" spans="2:2" x14ac:dyDescent="0.35">
      <c r="B254" s="33"/>
    </row>
    <row r="255" spans="2:2" x14ac:dyDescent="0.35">
      <c r="B255" s="33"/>
    </row>
    <row r="256" spans="2:2" x14ac:dyDescent="0.35">
      <c r="B256" s="33"/>
    </row>
    <row r="257" spans="2:2" x14ac:dyDescent="0.35">
      <c r="B257" s="34"/>
    </row>
    <row r="260" spans="2:2" x14ac:dyDescent="0.35">
      <c r="B260" s="33"/>
    </row>
    <row r="261" spans="2:2" x14ac:dyDescent="0.35">
      <c r="B261" s="33"/>
    </row>
    <row r="262" spans="2:2" x14ac:dyDescent="0.35">
      <c r="B262" s="33"/>
    </row>
    <row r="263" spans="2:2" x14ac:dyDescent="0.35">
      <c r="B263" s="33"/>
    </row>
    <row r="264" spans="2:2" x14ac:dyDescent="0.35">
      <c r="B264" s="33"/>
    </row>
    <row r="265" spans="2:2" x14ac:dyDescent="0.35">
      <c r="B265" s="34"/>
    </row>
    <row r="268" spans="2:2" x14ac:dyDescent="0.35">
      <c r="B268" s="33"/>
    </row>
    <row r="269" spans="2:2" x14ac:dyDescent="0.35">
      <c r="B269" s="33"/>
    </row>
    <row r="270" spans="2:2" x14ac:dyDescent="0.35">
      <c r="B270" s="33"/>
    </row>
    <row r="271" spans="2:2" x14ac:dyDescent="0.35">
      <c r="B271" s="33"/>
    </row>
    <row r="272" spans="2:2" x14ac:dyDescent="0.35">
      <c r="B272" s="33"/>
    </row>
    <row r="273" spans="2:2" x14ac:dyDescent="0.35">
      <c r="B273" s="34"/>
    </row>
    <row r="276" spans="2:2" x14ac:dyDescent="0.35">
      <c r="B276" s="33"/>
    </row>
    <row r="277" spans="2:2" x14ac:dyDescent="0.35">
      <c r="B277" s="33"/>
    </row>
    <row r="278" spans="2:2" x14ac:dyDescent="0.35">
      <c r="B278" s="33"/>
    </row>
    <row r="279" spans="2:2" x14ac:dyDescent="0.35">
      <c r="B279" s="33"/>
    </row>
    <row r="280" spans="2:2" x14ac:dyDescent="0.35">
      <c r="B280" s="33"/>
    </row>
    <row r="281" spans="2:2" x14ac:dyDescent="0.35">
      <c r="B281" s="34"/>
    </row>
    <row r="284" spans="2:2" x14ac:dyDescent="0.35">
      <c r="B284" s="33"/>
    </row>
    <row r="285" spans="2:2" x14ac:dyDescent="0.35">
      <c r="B285" s="33"/>
    </row>
    <row r="286" spans="2:2" x14ac:dyDescent="0.35">
      <c r="B286" s="33"/>
    </row>
    <row r="287" spans="2:2" x14ac:dyDescent="0.35">
      <c r="B287" s="33"/>
    </row>
    <row r="288" spans="2:2" x14ac:dyDescent="0.35">
      <c r="B288" s="33"/>
    </row>
    <row r="289" spans="2:2" x14ac:dyDescent="0.35">
      <c r="B289" s="34"/>
    </row>
    <row r="292" spans="2:2" x14ac:dyDescent="0.35">
      <c r="B292" s="33"/>
    </row>
    <row r="293" spans="2:2" x14ac:dyDescent="0.35">
      <c r="B293" s="33"/>
    </row>
    <row r="294" spans="2:2" x14ac:dyDescent="0.35">
      <c r="B294" s="33"/>
    </row>
    <row r="295" spans="2:2" x14ac:dyDescent="0.35">
      <c r="B295" s="33"/>
    </row>
    <row r="296" spans="2:2" x14ac:dyDescent="0.35">
      <c r="B296" s="33"/>
    </row>
    <row r="297" spans="2:2" x14ac:dyDescent="0.35">
      <c r="B297" s="34"/>
    </row>
    <row r="300" spans="2:2" x14ac:dyDescent="0.35">
      <c r="B300" s="33"/>
    </row>
    <row r="301" spans="2:2" x14ac:dyDescent="0.35">
      <c r="B301" s="33"/>
    </row>
    <row r="302" spans="2:2" x14ac:dyDescent="0.35">
      <c r="B302" s="33"/>
    </row>
    <row r="303" spans="2:2" x14ac:dyDescent="0.35">
      <c r="B303" s="33"/>
    </row>
    <row r="304" spans="2:2" x14ac:dyDescent="0.35">
      <c r="B304" s="33"/>
    </row>
    <row r="305" spans="2:2" x14ac:dyDescent="0.35">
      <c r="B305" s="34"/>
    </row>
    <row r="308" spans="2:2" x14ac:dyDescent="0.35">
      <c r="B308" s="33"/>
    </row>
    <row r="309" spans="2:2" x14ac:dyDescent="0.35">
      <c r="B309" s="33"/>
    </row>
    <row r="310" spans="2:2" x14ac:dyDescent="0.35">
      <c r="B310" s="33"/>
    </row>
    <row r="311" spans="2:2" x14ac:dyDescent="0.35">
      <c r="B311" s="33"/>
    </row>
    <row r="312" spans="2:2" x14ac:dyDescent="0.35">
      <c r="B312" s="33"/>
    </row>
    <row r="313" spans="2:2" x14ac:dyDescent="0.35">
      <c r="B313" s="34"/>
    </row>
    <row r="316" spans="2:2" x14ac:dyDescent="0.35">
      <c r="B316" s="33"/>
    </row>
    <row r="317" spans="2:2" x14ac:dyDescent="0.35">
      <c r="B317" s="33"/>
    </row>
    <row r="318" spans="2:2" x14ac:dyDescent="0.35">
      <c r="B318" s="33"/>
    </row>
    <row r="319" spans="2:2" x14ac:dyDescent="0.35">
      <c r="B319" s="33"/>
    </row>
    <row r="320" spans="2:2" x14ac:dyDescent="0.35">
      <c r="B320" s="33"/>
    </row>
    <row r="321" spans="2:2" x14ac:dyDescent="0.35">
      <c r="B321" s="34"/>
    </row>
    <row r="324" spans="2:2" x14ac:dyDescent="0.35">
      <c r="B324" s="33"/>
    </row>
    <row r="325" spans="2:2" x14ac:dyDescent="0.35">
      <c r="B325" s="33"/>
    </row>
    <row r="326" spans="2:2" x14ac:dyDescent="0.35">
      <c r="B326" s="33"/>
    </row>
    <row r="327" spans="2:2" x14ac:dyDescent="0.35">
      <c r="B327" s="33"/>
    </row>
    <row r="328" spans="2:2" x14ac:dyDescent="0.35">
      <c r="B328" s="33"/>
    </row>
    <row r="329" spans="2:2" x14ac:dyDescent="0.35">
      <c r="B329" s="34"/>
    </row>
    <row r="332" spans="2:2" x14ac:dyDescent="0.35">
      <c r="B332" s="33"/>
    </row>
    <row r="333" spans="2:2" x14ac:dyDescent="0.35">
      <c r="B333" s="33"/>
    </row>
    <row r="334" spans="2:2" x14ac:dyDescent="0.35">
      <c r="B334" s="33"/>
    </row>
    <row r="335" spans="2:2" x14ac:dyDescent="0.35">
      <c r="B335" s="33"/>
    </row>
    <row r="336" spans="2:2" x14ac:dyDescent="0.35">
      <c r="B336" s="33"/>
    </row>
    <row r="337" spans="2:2" x14ac:dyDescent="0.35">
      <c r="B337" s="34"/>
    </row>
    <row r="340" spans="2:2" x14ac:dyDescent="0.35">
      <c r="B340" s="33"/>
    </row>
    <row r="341" spans="2:2" x14ac:dyDescent="0.35">
      <c r="B341" s="33"/>
    </row>
    <row r="342" spans="2:2" x14ac:dyDescent="0.35">
      <c r="B342" s="33"/>
    </row>
    <row r="343" spans="2:2" x14ac:dyDescent="0.35">
      <c r="B343" s="33"/>
    </row>
    <row r="344" spans="2:2" x14ac:dyDescent="0.35">
      <c r="B344" s="33"/>
    </row>
    <row r="345" spans="2:2" x14ac:dyDescent="0.35">
      <c r="B345" s="34"/>
    </row>
    <row r="348" spans="2:2" x14ac:dyDescent="0.35">
      <c r="B348" s="33"/>
    </row>
    <row r="349" spans="2:2" x14ac:dyDescent="0.35">
      <c r="B349" s="33"/>
    </row>
    <row r="350" spans="2:2" x14ac:dyDescent="0.35">
      <c r="B350" s="33"/>
    </row>
    <row r="351" spans="2:2" x14ac:dyDescent="0.35">
      <c r="B351" s="33"/>
    </row>
    <row r="352" spans="2:2" x14ac:dyDescent="0.35">
      <c r="B352" s="33"/>
    </row>
    <row r="353" spans="2:2" x14ac:dyDescent="0.35">
      <c r="B353" s="34"/>
    </row>
    <row r="356" spans="2:2" x14ac:dyDescent="0.35">
      <c r="B356" s="33"/>
    </row>
    <row r="357" spans="2:2" x14ac:dyDescent="0.35">
      <c r="B357" s="33"/>
    </row>
    <row r="358" spans="2:2" x14ac:dyDescent="0.35">
      <c r="B358" s="33"/>
    </row>
    <row r="359" spans="2:2" x14ac:dyDescent="0.35">
      <c r="B359" s="33"/>
    </row>
    <row r="360" spans="2:2" x14ac:dyDescent="0.35">
      <c r="B360" s="33"/>
    </row>
    <row r="361" spans="2:2" x14ac:dyDescent="0.35">
      <c r="B361" s="34"/>
    </row>
    <row r="364" spans="2:2" x14ac:dyDescent="0.35">
      <c r="B364" s="33"/>
    </row>
    <row r="365" spans="2:2" x14ac:dyDescent="0.35">
      <c r="B365" s="33"/>
    </row>
    <row r="366" spans="2:2" x14ac:dyDescent="0.35">
      <c r="B366" s="33"/>
    </row>
    <row r="367" spans="2:2" x14ac:dyDescent="0.35">
      <c r="B367" s="33"/>
    </row>
    <row r="368" spans="2:2" x14ac:dyDescent="0.35">
      <c r="B368" s="33"/>
    </row>
    <row r="369" spans="2:2" x14ac:dyDescent="0.35">
      <c r="B369" s="34"/>
    </row>
    <row r="372" spans="2:2" x14ac:dyDescent="0.35">
      <c r="B372" s="33"/>
    </row>
    <row r="373" spans="2:2" x14ac:dyDescent="0.35">
      <c r="B373" s="33"/>
    </row>
    <row r="374" spans="2:2" x14ac:dyDescent="0.35">
      <c r="B374" s="33"/>
    </row>
    <row r="375" spans="2:2" x14ac:dyDescent="0.35">
      <c r="B375" s="33"/>
    </row>
    <row r="376" spans="2:2" x14ac:dyDescent="0.35">
      <c r="B376" s="33"/>
    </row>
    <row r="377" spans="2:2" x14ac:dyDescent="0.35">
      <c r="B377" s="34"/>
    </row>
    <row r="380" spans="2:2" x14ac:dyDescent="0.35">
      <c r="B380" s="33"/>
    </row>
    <row r="381" spans="2:2" x14ac:dyDescent="0.35">
      <c r="B381" s="33"/>
    </row>
    <row r="382" spans="2:2" x14ac:dyDescent="0.35">
      <c r="B382" s="33"/>
    </row>
    <row r="383" spans="2:2" x14ac:dyDescent="0.35">
      <c r="B383" s="33"/>
    </row>
    <row r="384" spans="2:2" x14ac:dyDescent="0.35">
      <c r="B384" s="33"/>
    </row>
    <row r="385" spans="2:2" x14ac:dyDescent="0.35">
      <c r="B385" s="34"/>
    </row>
    <row r="388" spans="2:2" x14ac:dyDescent="0.35">
      <c r="B388" s="33"/>
    </row>
    <row r="389" spans="2:2" x14ac:dyDescent="0.35">
      <c r="B389" s="33"/>
    </row>
    <row r="390" spans="2:2" x14ac:dyDescent="0.35">
      <c r="B390" s="33"/>
    </row>
    <row r="391" spans="2:2" x14ac:dyDescent="0.35">
      <c r="B391" s="33"/>
    </row>
    <row r="392" spans="2:2" x14ac:dyDescent="0.35">
      <c r="B392" s="33"/>
    </row>
    <row r="393" spans="2:2" x14ac:dyDescent="0.35">
      <c r="B393" s="34"/>
    </row>
    <row r="396" spans="2:2" x14ac:dyDescent="0.35">
      <c r="B396" s="33"/>
    </row>
    <row r="397" spans="2:2" x14ac:dyDescent="0.35">
      <c r="B397" s="33"/>
    </row>
    <row r="398" spans="2:2" x14ac:dyDescent="0.35">
      <c r="B398" s="33"/>
    </row>
    <row r="399" spans="2:2" x14ac:dyDescent="0.35">
      <c r="B399" s="33"/>
    </row>
    <row r="400" spans="2:2" x14ac:dyDescent="0.35">
      <c r="B400" s="33"/>
    </row>
    <row r="401" spans="2:2" x14ac:dyDescent="0.35">
      <c r="B401" s="34"/>
    </row>
    <row r="404" spans="2:2" x14ac:dyDescent="0.35">
      <c r="B404" s="33"/>
    </row>
    <row r="405" spans="2:2" x14ac:dyDescent="0.35">
      <c r="B405" s="33"/>
    </row>
    <row r="406" spans="2:2" x14ac:dyDescent="0.35">
      <c r="B406" s="33"/>
    </row>
    <row r="407" spans="2:2" x14ac:dyDescent="0.35">
      <c r="B407" s="33"/>
    </row>
    <row r="408" spans="2:2" x14ac:dyDescent="0.35">
      <c r="B408" s="33"/>
    </row>
    <row r="409" spans="2:2" x14ac:dyDescent="0.35">
      <c r="B409" s="34"/>
    </row>
    <row r="412" spans="2:2" x14ac:dyDescent="0.35">
      <c r="B412" s="33"/>
    </row>
    <row r="413" spans="2:2" x14ac:dyDescent="0.35">
      <c r="B413" s="33"/>
    </row>
    <row r="414" spans="2:2" x14ac:dyDescent="0.35">
      <c r="B414" s="33"/>
    </row>
    <row r="415" spans="2:2" x14ac:dyDescent="0.35">
      <c r="B415" s="33"/>
    </row>
    <row r="416" spans="2:2" x14ac:dyDescent="0.35">
      <c r="B416" s="33"/>
    </row>
    <row r="417" spans="2:2" x14ac:dyDescent="0.35">
      <c r="B417" s="34"/>
    </row>
    <row r="420" spans="2:2" x14ac:dyDescent="0.35">
      <c r="B420" s="33"/>
    </row>
    <row r="421" spans="2:2" x14ac:dyDescent="0.35">
      <c r="B421" s="33"/>
    </row>
    <row r="422" spans="2:2" x14ac:dyDescent="0.35">
      <c r="B422" s="33"/>
    </row>
    <row r="423" spans="2:2" x14ac:dyDescent="0.35">
      <c r="B423" s="33"/>
    </row>
    <row r="424" spans="2:2" x14ac:dyDescent="0.35">
      <c r="B424" s="33"/>
    </row>
    <row r="425" spans="2:2" x14ac:dyDescent="0.35">
      <c r="B425" s="34"/>
    </row>
    <row r="428" spans="2:2" x14ac:dyDescent="0.35">
      <c r="B428" s="33"/>
    </row>
    <row r="429" spans="2:2" x14ac:dyDescent="0.35">
      <c r="B429" s="33"/>
    </row>
    <row r="430" spans="2:2" x14ac:dyDescent="0.35">
      <c r="B430" s="33"/>
    </row>
    <row r="431" spans="2:2" x14ac:dyDescent="0.35">
      <c r="B431" s="33"/>
    </row>
    <row r="432" spans="2:2" x14ac:dyDescent="0.35">
      <c r="B432" s="33"/>
    </row>
    <row r="433" spans="2:2" x14ac:dyDescent="0.35">
      <c r="B433" s="34"/>
    </row>
    <row r="436" spans="2:2" x14ac:dyDescent="0.35">
      <c r="B436" s="33"/>
    </row>
    <row r="437" spans="2:2" x14ac:dyDescent="0.35">
      <c r="B437" s="33"/>
    </row>
    <row r="438" spans="2:2" x14ac:dyDescent="0.35">
      <c r="B438" s="33"/>
    </row>
    <row r="439" spans="2:2" x14ac:dyDescent="0.35">
      <c r="B439" s="33"/>
    </row>
    <row r="440" spans="2:2" x14ac:dyDescent="0.35">
      <c r="B440" s="33"/>
    </row>
    <row r="441" spans="2:2" x14ac:dyDescent="0.35">
      <c r="B441" s="34"/>
    </row>
    <row r="444" spans="2:2" x14ac:dyDescent="0.35">
      <c r="B444" s="33"/>
    </row>
    <row r="445" spans="2:2" x14ac:dyDescent="0.35">
      <c r="B445" s="33"/>
    </row>
    <row r="446" spans="2:2" x14ac:dyDescent="0.35">
      <c r="B446" s="33"/>
    </row>
    <row r="447" spans="2:2" x14ac:dyDescent="0.35">
      <c r="B447" s="33"/>
    </row>
    <row r="448" spans="2:2" x14ac:dyDescent="0.35">
      <c r="B448" s="33"/>
    </row>
    <row r="449" spans="2:2" x14ac:dyDescent="0.35">
      <c r="B449" s="34"/>
    </row>
    <row r="452" spans="2:2" x14ac:dyDescent="0.35">
      <c r="B452" s="33"/>
    </row>
    <row r="453" spans="2:2" x14ac:dyDescent="0.35">
      <c r="B453" s="33"/>
    </row>
    <row r="454" spans="2:2" x14ac:dyDescent="0.35">
      <c r="B454" s="33"/>
    </row>
    <row r="455" spans="2:2" x14ac:dyDescent="0.35">
      <c r="B455" s="33"/>
    </row>
    <row r="456" spans="2:2" x14ac:dyDescent="0.35">
      <c r="B456" s="33"/>
    </row>
    <row r="457" spans="2:2" x14ac:dyDescent="0.35">
      <c r="B457" s="34"/>
    </row>
    <row r="460" spans="2:2" x14ac:dyDescent="0.35">
      <c r="B460" s="33"/>
    </row>
    <row r="461" spans="2:2" x14ac:dyDescent="0.35">
      <c r="B461" s="33"/>
    </row>
    <row r="462" spans="2:2" x14ac:dyDescent="0.35">
      <c r="B462" s="33"/>
    </row>
    <row r="463" spans="2:2" x14ac:dyDescent="0.35">
      <c r="B463" s="33"/>
    </row>
    <row r="464" spans="2:2" x14ac:dyDescent="0.35">
      <c r="B464" s="33"/>
    </row>
    <row r="465" spans="2:2" x14ac:dyDescent="0.35">
      <c r="B465" s="34"/>
    </row>
    <row r="468" spans="2:2" x14ac:dyDescent="0.35">
      <c r="B468" s="33"/>
    </row>
    <row r="469" spans="2:2" x14ac:dyDescent="0.35">
      <c r="B469" s="33"/>
    </row>
    <row r="470" spans="2:2" x14ac:dyDescent="0.35">
      <c r="B470" s="33"/>
    </row>
    <row r="471" spans="2:2" x14ac:dyDescent="0.35">
      <c r="B471" s="33"/>
    </row>
    <row r="472" spans="2:2" x14ac:dyDescent="0.35">
      <c r="B472" s="33"/>
    </row>
    <row r="473" spans="2:2" x14ac:dyDescent="0.35">
      <c r="B473" s="34"/>
    </row>
    <row r="476" spans="2:2" x14ac:dyDescent="0.35">
      <c r="B476" s="33"/>
    </row>
    <row r="477" spans="2:2" x14ac:dyDescent="0.35">
      <c r="B477" s="33"/>
    </row>
    <row r="478" spans="2:2" x14ac:dyDescent="0.35">
      <c r="B478" s="33"/>
    </row>
    <row r="479" spans="2:2" x14ac:dyDescent="0.35">
      <c r="B479" s="33"/>
    </row>
    <row r="480" spans="2:2" x14ac:dyDescent="0.35">
      <c r="B480" s="33"/>
    </row>
    <row r="481" spans="2:2" x14ac:dyDescent="0.35">
      <c r="B481" s="34"/>
    </row>
    <row r="484" spans="2:2" x14ac:dyDescent="0.35">
      <c r="B484" s="33"/>
    </row>
    <row r="485" spans="2:2" x14ac:dyDescent="0.35">
      <c r="B485" s="33"/>
    </row>
    <row r="486" spans="2:2" x14ac:dyDescent="0.35">
      <c r="B486" s="33"/>
    </row>
    <row r="487" spans="2:2" x14ac:dyDescent="0.35">
      <c r="B487" s="33"/>
    </row>
    <row r="488" spans="2:2" x14ac:dyDescent="0.35">
      <c r="B488" s="33"/>
    </row>
    <row r="489" spans="2:2" x14ac:dyDescent="0.35">
      <c r="B489" s="34"/>
    </row>
    <row r="492" spans="2:2" x14ac:dyDescent="0.35">
      <c r="B492" s="33"/>
    </row>
    <row r="493" spans="2:2" x14ac:dyDescent="0.35">
      <c r="B493" s="33"/>
    </row>
    <row r="494" spans="2:2" x14ac:dyDescent="0.35">
      <c r="B494" s="33"/>
    </row>
    <row r="495" spans="2:2" x14ac:dyDescent="0.35">
      <c r="B495" s="33"/>
    </row>
    <row r="496" spans="2:2" x14ac:dyDescent="0.35">
      <c r="B496" s="33"/>
    </row>
    <row r="497" spans="2:2" x14ac:dyDescent="0.35">
      <c r="B497" s="34"/>
    </row>
    <row r="500" spans="2:2" x14ac:dyDescent="0.35">
      <c r="B500" s="33"/>
    </row>
    <row r="501" spans="2:2" x14ac:dyDescent="0.35">
      <c r="B501" s="33"/>
    </row>
    <row r="502" spans="2:2" x14ac:dyDescent="0.35">
      <c r="B502" s="33"/>
    </row>
    <row r="503" spans="2:2" x14ac:dyDescent="0.35">
      <c r="B503" s="33"/>
    </row>
    <row r="504" spans="2:2" x14ac:dyDescent="0.35">
      <c r="B504" s="33"/>
    </row>
    <row r="505" spans="2:2" x14ac:dyDescent="0.35">
      <c r="B505" s="34"/>
    </row>
    <row r="508" spans="2:2" x14ac:dyDescent="0.35">
      <c r="B508" s="33"/>
    </row>
    <row r="509" spans="2:2" x14ac:dyDescent="0.35">
      <c r="B509" s="33"/>
    </row>
    <row r="510" spans="2:2" x14ac:dyDescent="0.35">
      <c r="B510" s="33"/>
    </row>
    <row r="511" spans="2:2" x14ac:dyDescent="0.35">
      <c r="B511" s="33"/>
    </row>
    <row r="512" spans="2:2" x14ac:dyDescent="0.35">
      <c r="B512" s="33"/>
    </row>
    <row r="513" spans="2:2" x14ac:dyDescent="0.35">
      <c r="B513" s="34"/>
    </row>
    <row r="516" spans="2:2" x14ac:dyDescent="0.35">
      <c r="B516" s="33"/>
    </row>
    <row r="517" spans="2:2" x14ac:dyDescent="0.35">
      <c r="B517" s="33"/>
    </row>
    <row r="518" spans="2:2" x14ac:dyDescent="0.35">
      <c r="B518" s="33"/>
    </row>
    <row r="519" spans="2:2" x14ac:dyDescent="0.35">
      <c r="B519" s="33"/>
    </row>
    <row r="520" spans="2:2" x14ac:dyDescent="0.35">
      <c r="B520" s="33"/>
    </row>
    <row r="521" spans="2:2" x14ac:dyDescent="0.35">
      <c r="B521" s="34"/>
    </row>
    <row r="524" spans="2:2" x14ac:dyDescent="0.35">
      <c r="B524" s="33"/>
    </row>
    <row r="525" spans="2:2" x14ac:dyDescent="0.35">
      <c r="B525" s="33"/>
    </row>
    <row r="526" spans="2:2" x14ac:dyDescent="0.35">
      <c r="B526" s="33"/>
    </row>
    <row r="527" spans="2:2" x14ac:dyDescent="0.35">
      <c r="B527" s="33"/>
    </row>
    <row r="528" spans="2:2" x14ac:dyDescent="0.35">
      <c r="B528" s="33"/>
    </row>
    <row r="529" spans="2:2" x14ac:dyDescent="0.35">
      <c r="B529" s="34"/>
    </row>
    <row r="532" spans="2:2" x14ac:dyDescent="0.35">
      <c r="B532" s="33"/>
    </row>
    <row r="533" spans="2:2" x14ac:dyDescent="0.35">
      <c r="B533" s="33"/>
    </row>
    <row r="534" spans="2:2" x14ac:dyDescent="0.35">
      <c r="B534" s="33"/>
    </row>
    <row r="535" spans="2:2" x14ac:dyDescent="0.35">
      <c r="B535" s="33"/>
    </row>
    <row r="536" spans="2:2" x14ac:dyDescent="0.35">
      <c r="B536" s="33"/>
    </row>
    <row r="537" spans="2:2" x14ac:dyDescent="0.35">
      <c r="B537" s="34"/>
    </row>
    <row r="540" spans="2:2" x14ac:dyDescent="0.35">
      <c r="B540" s="33"/>
    </row>
    <row r="541" spans="2:2" x14ac:dyDescent="0.35">
      <c r="B541" s="33"/>
    </row>
    <row r="542" spans="2:2" x14ac:dyDescent="0.35">
      <c r="B542" s="33"/>
    </row>
    <row r="543" spans="2:2" x14ac:dyDescent="0.35">
      <c r="B543" s="33"/>
    </row>
    <row r="544" spans="2:2" x14ac:dyDescent="0.35">
      <c r="B544" s="33"/>
    </row>
    <row r="545" spans="2:2" x14ac:dyDescent="0.35">
      <c r="B545" s="34"/>
    </row>
    <row r="548" spans="2:2" x14ac:dyDescent="0.35">
      <c r="B548" s="33"/>
    </row>
    <row r="549" spans="2:2" x14ac:dyDescent="0.35">
      <c r="B549" s="33"/>
    </row>
    <row r="550" spans="2:2" x14ac:dyDescent="0.35">
      <c r="B550" s="33"/>
    </row>
    <row r="551" spans="2:2" x14ac:dyDescent="0.35">
      <c r="B551" s="33"/>
    </row>
    <row r="552" spans="2:2" x14ac:dyDescent="0.35">
      <c r="B552" s="33"/>
    </row>
    <row r="553" spans="2:2" x14ac:dyDescent="0.35">
      <c r="B553" s="34"/>
    </row>
    <row r="556" spans="2:2" x14ac:dyDescent="0.35">
      <c r="B556" s="33"/>
    </row>
    <row r="557" spans="2:2" x14ac:dyDescent="0.35">
      <c r="B557" s="33"/>
    </row>
    <row r="558" spans="2:2" x14ac:dyDescent="0.35">
      <c r="B558" s="33"/>
    </row>
    <row r="559" spans="2:2" x14ac:dyDescent="0.35">
      <c r="B559" s="33"/>
    </row>
    <row r="560" spans="2:2" x14ac:dyDescent="0.35">
      <c r="B560" s="33"/>
    </row>
    <row r="561" spans="2:2" x14ac:dyDescent="0.35">
      <c r="B561" s="34"/>
    </row>
    <row r="564" spans="2:2" x14ac:dyDescent="0.35">
      <c r="B564" s="33"/>
    </row>
    <row r="565" spans="2:2" x14ac:dyDescent="0.35">
      <c r="B565" s="33"/>
    </row>
    <row r="566" spans="2:2" x14ac:dyDescent="0.35">
      <c r="B566" s="33"/>
    </row>
    <row r="567" spans="2:2" x14ac:dyDescent="0.35">
      <c r="B567" s="33"/>
    </row>
    <row r="568" spans="2:2" x14ac:dyDescent="0.35">
      <c r="B568" s="33"/>
    </row>
    <row r="569" spans="2:2" x14ac:dyDescent="0.35">
      <c r="B569" s="34"/>
    </row>
    <row r="572" spans="2:2" x14ac:dyDescent="0.35">
      <c r="B572" s="33"/>
    </row>
    <row r="573" spans="2:2" x14ac:dyDescent="0.35">
      <c r="B573" s="33"/>
    </row>
    <row r="574" spans="2:2" x14ac:dyDescent="0.35">
      <c r="B574" s="33"/>
    </row>
    <row r="575" spans="2:2" x14ac:dyDescent="0.35">
      <c r="B575" s="33"/>
    </row>
    <row r="576" spans="2:2" x14ac:dyDescent="0.35">
      <c r="B576" s="33"/>
    </row>
    <row r="577" spans="2:2" x14ac:dyDescent="0.35">
      <c r="B577" s="34"/>
    </row>
    <row r="580" spans="2:2" x14ac:dyDescent="0.35">
      <c r="B580" s="33"/>
    </row>
    <row r="581" spans="2:2" x14ac:dyDescent="0.35">
      <c r="B581" s="33"/>
    </row>
    <row r="582" spans="2:2" x14ac:dyDescent="0.35">
      <c r="B582" s="33"/>
    </row>
    <row r="583" spans="2:2" x14ac:dyDescent="0.35">
      <c r="B583" s="33"/>
    </row>
    <row r="584" spans="2:2" x14ac:dyDescent="0.35">
      <c r="B584" s="33"/>
    </row>
    <row r="585" spans="2:2" x14ac:dyDescent="0.35">
      <c r="B585" s="34"/>
    </row>
    <row r="588" spans="2:2" x14ac:dyDescent="0.35">
      <c r="B588" s="33"/>
    </row>
    <row r="589" spans="2:2" x14ac:dyDescent="0.35">
      <c r="B589" s="33"/>
    </row>
    <row r="590" spans="2:2" x14ac:dyDescent="0.35">
      <c r="B590" s="33"/>
    </row>
    <row r="591" spans="2:2" x14ac:dyDescent="0.35">
      <c r="B591" s="33"/>
    </row>
    <row r="592" spans="2:2" x14ac:dyDescent="0.35">
      <c r="B592" s="33"/>
    </row>
    <row r="593" spans="2:2" x14ac:dyDescent="0.35">
      <c r="B593" s="34"/>
    </row>
    <row r="596" spans="2:2" x14ac:dyDescent="0.35">
      <c r="B596" s="33"/>
    </row>
    <row r="597" spans="2:2" x14ac:dyDescent="0.35">
      <c r="B597" s="33"/>
    </row>
    <row r="598" spans="2:2" x14ac:dyDescent="0.35">
      <c r="B598" s="33"/>
    </row>
    <row r="599" spans="2:2" x14ac:dyDescent="0.35">
      <c r="B599" s="33"/>
    </row>
    <row r="600" spans="2:2" x14ac:dyDescent="0.35">
      <c r="B600" s="33"/>
    </row>
    <row r="601" spans="2:2" x14ac:dyDescent="0.35">
      <c r="B601" s="34"/>
    </row>
    <row r="604" spans="2:2" x14ac:dyDescent="0.35">
      <c r="B604" s="33"/>
    </row>
    <row r="605" spans="2:2" x14ac:dyDescent="0.35">
      <c r="B605" s="33"/>
    </row>
    <row r="606" spans="2:2" x14ac:dyDescent="0.35">
      <c r="B606" s="33"/>
    </row>
    <row r="607" spans="2:2" x14ac:dyDescent="0.35">
      <c r="B607" s="33"/>
    </row>
    <row r="608" spans="2:2" x14ac:dyDescent="0.35">
      <c r="B608" s="33"/>
    </row>
    <row r="609" spans="2:2" x14ac:dyDescent="0.35">
      <c r="B609" s="34"/>
    </row>
    <row r="612" spans="2:2" x14ac:dyDescent="0.35">
      <c r="B612" s="33"/>
    </row>
    <row r="613" spans="2:2" x14ac:dyDescent="0.35">
      <c r="B613" s="33"/>
    </row>
    <row r="614" spans="2:2" x14ac:dyDescent="0.35">
      <c r="B614" s="33"/>
    </row>
    <row r="615" spans="2:2" x14ac:dyDescent="0.35">
      <c r="B615" s="33"/>
    </row>
    <row r="616" spans="2:2" x14ac:dyDescent="0.35">
      <c r="B616" s="33"/>
    </row>
    <row r="617" spans="2:2" x14ac:dyDescent="0.35">
      <c r="B617" s="34"/>
    </row>
    <row r="620" spans="2:2" x14ac:dyDescent="0.35">
      <c r="B620" s="33"/>
    </row>
    <row r="621" spans="2:2" x14ac:dyDescent="0.35">
      <c r="B621" s="33"/>
    </row>
    <row r="622" spans="2:2" x14ac:dyDescent="0.35">
      <c r="B622" s="33"/>
    </row>
    <row r="623" spans="2:2" x14ac:dyDescent="0.35">
      <c r="B623" s="33"/>
    </row>
    <row r="624" spans="2:2" x14ac:dyDescent="0.35">
      <c r="B624" s="33"/>
    </row>
    <row r="625" spans="2:2" x14ac:dyDescent="0.35">
      <c r="B625" s="34"/>
    </row>
    <row r="628" spans="2:2" x14ac:dyDescent="0.35">
      <c r="B628" s="33"/>
    </row>
    <row r="629" spans="2:2" x14ac:dyDescent="0.35">
      <c r="B629" s="33"/>
    </row>
    <row r="630" spans="2:2" x14ac:dyDescent="0.35">
      <c r="B630" s="33"/>
    </row>
    <row r="631" spans="2:2" x14ac:dyDescent="0.35">
      <c r="B631" s="33"/>
    </row>
    <row r="632" spans="2:2" x14ac:dyDescent="0.35">
      <c r="B632" s="33"/>
    </row>
    <row r="633" spans="2:2" x14ac:dyDescent="0.35">
      <c r="B633" s="34"/>
    </row>
    <row r="636" spans="2:2" x14ac:dyDescent="0.35">
      <c r="B636" s="33"/>
    </row>
    <row r="637" spans="2:2" x14ac:dyDescent="0.35">
      <c r="B637" s="33"/>
    </row>
    <row r="638" spans="2:2" x14ac:dyDescent="0.35">
      <c r="B638" s="33"/>
    </row>
    <row r="639" spans="2:2" x14ac:dyDescent="0.35">
      <c r="B639" s="33"/>
    </row>
    <row r="640" spans="2:2" x14ac:dyDescent="0.35">
      <c r="B640" s="33"/>
    </row>
    <row r="641" spans="2:2" x14ac:dyDescent="0.35">
      <c r="B641" s="34"/>
    </row>
    <row r="644" spans="2:2" x14ac:dyDescent="0.35">
      <c r="B644" s="33"/>
    </row>
    <row r="645" spans="2:2" x14ac:dyDescent="0.35">
      <c r="B645" s="33"/>
    </row>
    <row r="646" spans="2:2" x14ac:dyDescent="0.35">
      <c r="B646" s="33"/>
    </row>
    <row r="647" spans="2:2" x14ac:dyDescent="0.35">
      <c r="B647" s="33"/>
    </row>
    <row r="648" spans="2:2" x14ac:dyDescent="0.35">
      <c r="B648" s="33"/>
    </row>
    <row r="649" spans="2:2" x14ac:dyDescent="0.35">
      <c r="B649" s="34"/>
    </row>
    <row r="652" spans="2:2" x14ac:dyDescent="0.35">
      <c r="B652" s="33"/>
    </row>
    <row r="653" spans="2:2" x14ac:dyDescent="0.35">
      <c r="B653" s="33"/>
    </row>
    <row r="654" spans="2:2" x14ac:dyDescent="0.35">
      <c r="B654" s="33"/>
    </row>
    <row r="655" spans="2:2" x14ac:dyDescent="0.35">
      <c r="B655" s="33"/>
    </row>
    <row r="656" spans="2:2" x14ac:dyDescent="0.35">
      <c r="B656" s="33"/>
    </row>
    <row r="657" spans="2:2" x14ac:dyDescent="0.35">
      <c r="B657" s="34"/>
    </row>
    <row r="660" spans="2:2" x14ac:dyDescent="0.35">
      <c r="B660" s="33"/>
    </row>
    <row r="661" spans="2:2" x14ac:dyDescent="0.35">
      <c r="B661" s="33"/>
    </row>
    <row r="662" spans="2:2" x14ac:dyDescent="0.35">
      <c r="B662" s="33"/>
    </row>
    <row r="663" spans="2:2" x14ac:dyDescent="0.35">
      <c r="B663" s="33"/>
    </row>
    <row r="664" spans="2:2" x14ac:dyDescent="0.35">
      <c r="B664" s="33"/>
    </row>
    <row r="665" spans="2:2" x14ac:dyDescent="0.35">
      <c r="B665" s="34"/>
    </row>
    <row r="668" spans="2:2" x14ac:dyDescent="0.35">
      <c r="B668" s="33"/>
    </row>
    <row r="669" spans="2:2" x14ac:dyDescent="0.35">
      <c r="B669" s="33"/>
    </row>
    <row r="670" spans="2:2" x14ac:dyDescent="0.35">
      <c r="B670" s="33"/>
    </row>
    <row r="671" spans="2:2" x14ac:dyDescent="0.35">
      <c r="B671" s="33"/>
    </row>
    <row r="672" spans="2:2" x14ac:dyDescent="0.35">
      <c r="B672" s="33"/>
    </row>
    <row r="673" spans="2:2" x14ac:dyDescent="0.35">
      <c r="B673" s="34"/>
    </row>
    <row r="676" spans="2:2" x14ac:dyDescent="0.35">
      <c r="B676" s="33"/>
    </row>
    <row r="677" spans="2:2" x14ac:dyDescent="0.35">
      <c r="B677" s="33"/>
    </row>
    <row r="678" spans="2:2" x14ac:dyDescent="0.35">
      <c r="B678" s="33"/>
    </row>
    <row r="679" spans="2:2" x14ac:dyDescent="0.35">
      <c r="B679" s="33"/>
    </row>
    <row r="680" spans="2:2" x14ac:dyDescent="0.35">
      <c r="B680" s="33"/>
    </row>
    <row r="681" spans="2:2" x14ac:dyDescent="0.35">
      <c r="B681" s="34"/>
    </row>
    <row r="684" spans="2:2" x14ac:dyDescent="0.35">
      <c r="B684" s="33"/>
    </row>
    <row r="685" spans="2:2" x14ac:dyDescent="0.35">
      <c r="B685" s="33"/>
    </row>
    <row r="686" spans="2:2" x14ac:dyDescent="0.35">
      <c r="B686" s="33"/>
    </row>
    <row r="687" spans="2:2" x14ac:dyDescent="0.35">
      <c r="B687" s="33"/>
    </row>
    <row r="688" spans="2:2" x14ac:dyDescent="0.35">
      <c r="B688" s="33"/>
    </row>
    <row r="689" spans="2:2" x14ac:dyDescent="0.35">
      <c r="B689" s="34"/>
    </row>
    <row r="692" spans="2:2" x14ac:dyDescent="0.35">
      <c r="B692" s="33"/>
    </row>
    <row r="693" spans="2:2" x14ac:dyDescent="0.35">
      <c r="B693" s="33"/>
    </row>
    <row r="694" spans="2:2" x14ac:dyDescent="0.35">
      <c r="B694" s="33"/>
    </row>
    <row r="695" spans="2:2" x14ac:dyDescent="0.35">
      <c r="B695" s="33"/>
    </row>
    <row r="696" spans="2:2" x14ac:dyDescent="0.35">
      <c r="B696" s="33"/>
    </row>
    <row r="697" spans="2:2" x14ac:dyDescent="0.35">
      <c r="B697" s="34"/>
    </row>
    <row r="700" spans="2:2" x14ac:dyDescent="0.35">
      <c r="B700" s="33"/>
    </row>
    <row r="701" spans="2:2" x14ac:dyDescent="0.35">
      <c r="B701" s="33"/>
    </row>
    <row r="702" spans="2:2" x14ac:dyDescent="0.35">
      <c r="B702" s="33"/>
    </row>
    <row r="703" spans="2:2" x14ac:dyDescent="0.35">
      <c r="B703" s="33"/>
    </row>
    <row r="704" spans="2:2" x14ac:dyDescent="0.35">
      <c r="B704" s="33"/>
    </row>
    <row r="705" spans="2:2" x14ac:dyDescent="0.35">
      <c r="B705" s="34"/>
    </row>
    <row r="708" spans="2:2" x14ac:dyDescent="0.35">
      <c r="B708" s="33"/>
    </row>
    <row r="709" spans="2:2" x14ac:dyDescent="0.35">
      <c r="B709" s="33"/>
    </row>
    <row r="710" spans="2:2" x14ac:dyDescent="0.35">
      <c r="B710" s="33"/>
    </row>
    <row r="711" spans="2:2" x14ac:dyDescent="0.35">
      <c r="B711" s="33"/>
    </row>
    <row r="712" spans="2:2" x14ac:dyDescent="0.35">
      <c r="B712" s="33"/>
    </row>
    <row r="713" spans="2:2" x14ac:dyDescent="0.35">
      <c r="B713" s="34"/>
    </row>
    <row r="716" spans="2:2" x14ac:dyDescent="0.35">
      <c r="B716" s="33"/>
    </row>
    <row r="717" spans="2:2" x14ac:dyDescent="0.35">
      <c r="B717" s="33"/>
    </row>
    <row r="718" spans="2:2" x14ac:dyDescent="0.35">
      <c r="B718" s="33"/>
    </row>
    <row r="719" spans="2:2" x14ac:dyDescent="0.35">
      <c r="B719" s="33"/>
    </row>
    <row r="720" spans="2:2" x14ac:dyDescent="0.35">
      <c r="B720" s="33"/>
    </row>
    <row r="721" spans="2:2" x14ac:dyDescent="0.35">
      <c r="B721" s="34"/>
    </row>
    <row r="724" spans="2:2" x14ac:dyDescent="0.35">
      <c r="B724" s="33"/>
    </row>
    <row r="725" spans="2:2" x14ac:dyDescent="0.35">
      <c r="B725" s="33"/>
    </row>
    <row r="726" spans="2:2" x14ac:dyDescent="0.35">
      <c r="B726" s="33"/>
    </row>
    <row r="727" spans="2:2" x14ac:dyDescent="0.35">
      <c r="B727" s="33"/>
    </row>
    <row r="728" spans="2:2" x14ac:dyDescent="0.35">
      <c r="B728" s="33"/>
    </row>
    <row r="729" spans="2:2" x14ac:dyDescent="0.35">
      <c r="B729" s="34"/>
    </row>
    <row r="732" spans="2:2" x14ac:dyDescent="0.35">
      <c r="B732" s="33"/>
    </row>
    <row r="733" spans="2:2" x14ac:dyDescent="0.35">
      <c r="B733" s="33"/>
    </row>
    <row r="734" spans="2:2" x14ac:dyDescent="0.35">
      <c r="B734" s="33"/>
    </row>
    <row r="735" spans="2:2" x14ac:dyDescent="0.35">
      <c r="B735" s="33"/>
    </row>
    <row r="736" spans="2:2" x14ac:dyDescent="0.35">
      <c r="B736" s="33"/>
    </row>
    <row r="737" spans="2:2" x14ac:dyDescent="0.35">
      <c r="B737" s="34"/>
    </row>
    <row r="740" spans="2:2" x14ac:dyDescent="0.35">
      <c r="B740" s="33"/>
    </row>
    <row r="741" spans="2:2" x14ac:dyDescent="0.35">
      <c r="B741" s="33"/>
    </row>
    <row r="742" spans="2:2" x14ac:dyDescent="0.35">
      <c r="B742" s="33"/>
    </row>
    <row r="743" spans="2:2" x14ac:dyDescent="0.35">
      <c r="B743" s="33"/>
    </row>
    <row r="744" spans="2:2" x14ac:dyDescent="0.35">
      <c r="B744" s="33"/>
    </row>
    <row r="745" spans="2:2" x14ac:dyDescent="0.35">
      <c r="B745" s="34"/>
    </row>
    <row r="748" spans="2:2" x14ac:dyDescent="0.35">
      <c r="B748" s="33"/>
    </row>
    <row r="749" spans="2:2" x14ac:dyDescent="0.35">
      <c r="B749" s="33"/>
    </row>
    <row r="750" spans="2:2" x14ac:dyDescent="0.35">
      <c r="B750" s="33"/>
    </row>
    <row r="751" spans="2:2" x14ac:dyDescent="0.35">
      <c r="B751" s="33"/>
    </row>
    <row r="752" spans="2:2" x14ac:dyDescent="0.35">
      <c r="B752" s="33"/>
    </row>
    <row r="753" spans="2:2" x14ac:dyDescent="0.35">
      <c r="B753" s="34"/>
    </row>
    <row r="756" spans="2:2" x14ac:dyDescent="0.35">
      <c r="B756" s="33"/>
    </row>
    <row r="757" spans="2:2" x14ac:dyDescent="0.35">
      <c r="B757" s="33"/>
    </row>
    <row r="758" spans="2:2" x14ac:dyDescent="0.35">
      <c r="B758" s="33"/>
    </row>
    <row r="759" spans="2:2" x14ac:dyDescent="0.35">
      <c r="B759" s="33"/>
    </row>
    <row r="760" spans="2:2" x14ac:dyDescent="0.35">
      <c r="B760" s="33"/>
    </row>
    <row r="761" spans="2:2" x14ac:dyDescent="0.35">
      <c r="B761" s="34"/>
    </row>
    <row r="764" spans="2:2" x14ac:dyDescent="0.35">
      <c r="B764" s="33"/>
    </row>
    <row r="765" spans="2:2" x14ac:dyDescent="0.35">
      <c r="B765" s="33"/>
    </row>
    <row r="766" spans="2:2" x14ac:dyDescent="0.35">
      <c r="B766" s="33"/>
    </row>
    <row r="767" spans="2:2" x14ac:dyDescent="0.35">
      <c r="B767" s="33"/>
    </row>
    <row r="768" spans="2:2" x14ac:dyDescent="0.35">
      <c r="B768" s="33"/>
    </row>
    <row r="769" spans="2:2" x14ac:dyDescent="0.35">
      <c r="B769" s="34"/>
    </row>
    <row r="772" spans="2:2" x14ac:dyDescent="0.35">
      <c r="B772" s="33"/>
    </row>
    <row r="773" spans="2:2" x14ac:dyDescent="0.35">
      <c r="B773" s="33"/>
    </row>
    <row r="774" spans="2:2" x14ac:dyDescent="0.35">
      <c r="B774" s="33"/>
    </row>
    <row r="775" spans="2:2" x14ac:dyDescent="0.35">
      <c r="B775" s="33"/>
    </row>
    <row r="776" spans="2:2" x14ac:dyDescent="0.35">
      <c r="B776" s="33"/>
    </row>
    <row r="777" spans="2:2" x14ac:dyDescent="0.35">
      <c r="B777" s="34"/>
    </row>
    <row r="780" spans="2:2" x14ac:dyDescent="0.35">
      <c r="B780" s="33"/>
    </row>
    <row r="781" spans="2:2" x14ac:dyDescent="0.35">
      <c r="B781" s="33"/>
    </row>
    <row r="782" spans="2:2" x14ac:dyDescent="0.35">
      <c r="B782" s="33"/>
    </row>
    <row r="783" spans="2:2" x14ac:dyDescent="0.35">
      <c r="B783" s="33"/>
    </row>
    <row r="784" spans="2:2" x14ac:dyDescent="0.35">
      <c r="B784" s="33"/>
    </row>
    <row r="785" spans="2:2" x14ac:dyDescent="0.35">
      <c r="B785" s="34"/>
    </row>
    <row r="788" spans="2:2" x14ac:dyDescent="0.35">
      <c r="B788" s="33"/>
    </row>
    <row r="789" spans="2:2" x14ac:dyDescent="0.35">
      <c r="B789" s="33"/>
    </row>
    <row r="790" spans="2:2" x14ac:dyDescent="0.35">
      <c r="B790" s="33"/>
    </row>
    <row r="791" spans="2:2" x14ac:dyDescent="0.35">
      <c r="B791" s="33"/>
    </row>
    <row r="792" spans="2:2" x14ac:dyDescent="0.35">
      <c r="B792" s="33"/>
    </row>
    <row r="793" spans="2:2" x14ac:dyDescent="0.35">
      <c r="B793" s="34"/>
    </row>
    <row r="796" spans="2:2" x14ac:dyDescent="0.35">
      <c r="B796" s="33"/>
    </row>
    <row r="797" spans="2:2" x14ac:dyDescent="0.35">
      <c r="B797" s="33"/>
    </row>
    <row r="798" spans="2:2" x14ac:dyDescent="0.35">
      <c r="B798" s="33"/>
    </row>
    <row r="799" spans="2:2" x14ac:dyDescent="0.35">
      <c r="B799" s="33"/>
    </row>
    <row r="800" spans="2:2" x14ac:dyDescent="0.35">
      <c r="B800" s="33"/>
    </row>
    <row r="801" spans="2:2" x14ac:dyDescent="0.35">
      <c r="B801" s="34"/>
    </row>
    <row r="804" spans="2:2" x14ac:dyDescent="0.35">
      <c r="B804" s="33"/>
    </row>
    <row r="805" spans="2:2" x14ac:dyDescent="0.35">
      <c r="B805" s="33"/>
    </row>
    <row r="806" spans="2:2" x14ac:dyDescent="0.35">
      <c r="B806" s="33"/>
    </row>
    <row r="807" spans="2:2" x14ac:dyDescent="0.35">
      <c r="B807" s="33"/>
    </row>
    <row r="808" spans="2:2" x14ac:dyDescent="0.35">
      <c r="B808" s="33"/>
    </row>
    <row r="809" spans="2:2" x14ac:dyDescent="0.35">
      <c r="B809" s="34"/>
    </row>
    <row r="812" spans="2:2" x14ac:dyDescent="0.35">
      <c r="B812" s="33"/>
    </row>
    <row r="813" spans="2:2" x14ac:dyDescent="0.35">
      <c r="B813" s="33"/>
    </row>
    <row r="814" spans="2:2" x14ac:dyDescent="0.35">
      <c r="B814" s="33"/>
    </row>
    <row r="815" spans="2:2" x14ac:dyDescent="0.35">
      <c r="B815" s="33"/>
    </row>
    <row r="816" spans="2:2" x14ac:dyDescent="0.35">
      <c r="B816" s="33"/>
    </row>
    <row r="817" spans="2:2" x14ac:dyDescent="0.35">
      <c r="B817" s="34"/>
    </row>
    <row r="820" spans="2:2" x14ac:dyDescent="0.35">
      <c r="B820" s="33"/>
    </row>
    <row r="821" spans="2:2" x14ac:dyDescent="0.35">
      <c r="B821" s="33"/>
    </row>
    <row r="822" spans="2:2" x14ac:dyDescent="0.35">
      <c r="B822" s="33"/>
    </row>
    <row r="823" spans="2:2" x14ac:dyDescent="0.35">
      <c r="B823" s="33"/>
    </row>
    <row r="824" spans="2:2" x14ac:dyDescent="0.35">
      <c r="B824" s="33"/>
    </row>
    <row r="825" spans="2:2" x14ac:dyDescent="0.35">
      <c r="B825" s="34"/>
    </row>
    <row r="828" spans="2:2" x14ac:dyDescent="0.35">
      <c r="B828" s="33"/>
    </row>
    <row r="829" spans="2:2" x14ac:dyDescent="0.35">
      <c r="B829" s="33"/>
    </row>
    <row r="830" spans="2:2" x14ac:dyDescent="0.35">
      <c r="B830" s="33"/>
    </row>
    <row r="831" spans="2:2" x14ac:dyDescent="0.35">
      <c r="B831" s="33"/>
    </row>
    <row r="832" spans="2:2" x14ac:dyDescent="0.35">
      <c r="B832" s="33"/>
    </row>
    <row r="833" spans="2:2" x14ac:dyDescent="0.35">
      <c r="B833" s="34"/>
    </row>
    <row r="836" spans="2:2" x14ac:dyDescent="0.35">
      <c r="B836" s="33"/>
    </row>
    <row r="837" spans="2:2" x14ac:dyDescent="0.35">
      <c r="B837" s="33"/>
    </row>
    <row r="838" spans="2:2" x14ac:dyDescent="0.35">
      <c r="B838" s="33"/>
    </row>
    <row r="839" spans="2:2" x14ac:dyDescent="0.35">
      <c r="B839" s="33"/>
    </row>
    <row r="840" spans="2:2" x14ac:dyDescent="0.35">
      <c r="B840" s="33"/>
    </row>
    <row r="841" spans="2:2" x14ac:dyDescent="0.35">
      <c r="B841" s="34"/>
    </row>
    <row r="844" spans="2:2" x14ac:dyDescent="0.35">
      <c r="B844" s="33"/>
    </row>
    <row r="845" spans="2:2" x14ac:dyDescent="0.35">
      <c r="B845" s="33"/>
    </row>
    <row r="846" spans="2:2" x14ac:dyDescent="0.35">
      <c r="B846" s="33"/>
    </row>
    <row r="847" spans="2:2" x14ac:dyDescent="0.35">
      <c r="B847" s="33"/>
    </row>
    <row r="848" spans="2:2" x14ac:dyDescent="0.35">
      <c r="B848" s="33"/>
    </row>
    <row r="849" spans="2:2" x14ac:dyDescent="0.35">
      <c r="B849" s="34"/>
    </row>
    <row r="852" spans="2:2" x14ac:dyDescent="0.35">
      <c r="B852" s="33"/>
    </row>
    <row r="853" spans="2:2" x14ac:dyDescent="0.35">
      <c r="B853" s="33"/>
    </row>
    <row r="854" spans="2:2" x14ac:dyDescent="0.35">
      <c r="B854" s="33"/>
    </row>
    <row r="855" spans="2:2" x14ac:dyDescent="0.35">
      <c r="B855" s="33"/>
    </row>
    <row r="856" spans="2:2" x14ac:dyDescent="0.35">
      <c r="B856" s="33"/>
    </row>
    <row r="857" spans="2:2" x14ac:dyDescent="0.35">
      <c r="B857" s="34"/>
    </row>
    <row r="860" spans="2:2" x14ac:dyDescent="0.35">
      <c r="B860" s="33"/>
    </row>
    <row r="861" spans="2:2" x14ac:dyDescent="0.35">
      <c r="B861" s="33"/>
    </row>
    <row r="862" spans="2:2" x14ac:dyDescent="0.35">
      <c r="B862" s="33"/>
    </row>
    <row r="863" spans="2:2" x14ac:dyDescent="0.35">
      <c r="B863" s="33"/>
    </row>
    <row r="864" spans="2:2" x14ac:dyDescent="0.35">
      <c r="B864" s="33"/>
    </row>
    <row r="865" spans="2:2" x14ac:dyDescent="0.35">
      <c r="B865" s="34"/>
    </row>
    <row r="868" spans="2:2" x14ac:dyDescent="0.35">
      <c r="B868" s="33"/>
    </row>
    <row r="869" spans="2:2" x14ac:dyDescent="0.35">
      <c r="B869" s="33"/>
    </row>
    <row r="870" spans="2:2" x14ac:dyDescent="0.35">
      <c r="B870" s="33"/>
    </row>
    <row r="871" spans="2:2" x14ac:dyDescent="0.35">
      <c r="B871" s="33"/>
    </row>
    <row r="872" spans="2:2" x14ac:dyDescent="0.35">
      <c r="B872" s="33"/>
    </row>
    <row r="873" spans="2:2" x14ac:dyDescent="0.35">
      <c r="B873" s="34"/>
    </row>
    <row r="876" spans="2:2" x14ac:dyDescent="0.35">
      <c r="B876" s="33"/>
    </row>
    <row r="877" spans="2:2" x14ac:dyDescent="0.35">
      <c r="B877" s="33"/>
    </row>
    <row r="878" spans="2:2" x14ac:dyDescent="0.35">
      <c r="B878" s="33"/>
    </row>
    <row r="879" spans="2:2" x14ac:dyDescent="0.35">
      <c r="B879" s="33"/>
    </row>
    <row r="880" spans="2:2" x14ac:dyDescent="0.35">
      <c r="B880" s="33"/>
    </row>
    <row r="881" spans="2:2" x14ac:dyDescent="0.35">
      <c r="B881" s="34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CC0D62-10DE-4570-9CB5-B06DEC2765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Summary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Hasan</dc:creator>
  <cp:lastModifiedBy>Sammy Hasan</cp:lastModifiedBy>
  <dcterms:created xsi:type="dcterms:W3CDTF">2025-03-26T15:34:01Z</dcterms:created>
  <dcterms:modified xsi:type="dcterms:W3CDTF">2025-07-31T13:46:58Z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